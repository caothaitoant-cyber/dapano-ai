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Nhập liệu" sheetId="1" state="visible" r:id="rId1"/>
    <sheet name="2. Kết quả 10 năm" sheetId="2" state="visible" r:id="rId2"/>
    <sheet name="3. Ba kịch bản" sheetId="3" state="visible" r:id="rId3"/>
    <sheet name="4. Đọc kết quả" sheetId="4" state="visible" r:id="rId4"/>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8">
    <font>
      <name val="Calibri"/>
      <family val="2"/>
      <color theme="1"/>
      <sz val="11"/>
      <scheme val="minor"/>
    </font>
    <font>
      <name val="Montserrat"/>
      <b val="1"/>
      <color rgb="FFFFFFFF"/>
      <sz val="16"/>
    </font>
    <font>
      <name val="Montserrat"/>
      <i val="1"/>
      <color rgb="FFFFFFFF"/>
      <sz val="9"/>
    </font>
    <font>
      <name val="Montserrat"/>
      <b val="1"/>
      <color rgb="FF5E067C"/>
      <sz val="9"/>
    </font>
    <font>
      <name val="Montserrat"/>
      <b val="1"/>
      <color rgb="FFFFFFFF"/>
      <sz val="10"/>
    </font>
    <font>
      <name val="Montserrat"/>
      <color rgb="FF1A0F4A"/>
      <sz val="10"/>
    </font>
    <font>
      <name val="Montserrat"/>
      <i val="1"/>
      <color rgb="FF6B5E85"/>
      <sz val="8"/>
    </font>
    <font>
      <name val="Montserrat"/>
      <b val="1"/>
      <color rgb="FF1A0F4A"/>
      <sz val="11"/>
    </font>
    <font>
      <name val="Montserrat"/>
      <color rgb="FF6B5E85"/>
      <sz val="9"/>
    </font>
    <font>
      <name val="Montserrat"/>
      <b val="1"/>
      <color rgb="FF5E067C"/>
      <sz val="11"/>
    </font>
    <font>
      <name val="Montserrat"/>
      <color rgb="FF4A3D6E"/>
      <sz val="9"/>
    </font>
    <font>
      <name val="Montserrat"/>
      <b val="1"/>
      <color rgb="FF21135F"/>
      <sz val="10"/>
    </font>
    <font>
      <name val="Montserrat"/>
      <b val="1"/>
      <color rgb="FFFFFFFF"/>
      <sz val="9"/>
    </font>
    <font>
      <name val="Montserrat"/>
      <b val="1"/>
      <color rgb="FF1A0F4A"/>
      <sz val="10"/>
    </font>
    <font>
      <name val="Montserrat"/>
      <b val="1"/>
      <color rgb="FF5E067C"/>
      <sz val="10"/>
    </font>
    <font>
      <name val="Montserrat"/>
      <i val="1"/>
      <color rgb="FF4A3D6E"/>
      <sz val="9"/>
    </font>
    <font>
      <name val="Montserrat"/>
      <b val="1"/>
      <color rgb="FFFFFFFF"/>
      <sz val="11"/>
    </font>
    <font>
      <name val="Montserrat"/>
      <color rgb="FF4A3D6E"/>
      <sz val="10"/>
    </font>
  </fonts>
  <fills count="8">
    <fill>
      <patternFill/>
    </fill>
    <fill>
      <patternFill patternType="gray125"/>
    </fill>
    <fill>
      <patternFill patternType="solid">
        <fgColor rgb="FF21135F"/>
      </patternFill>
    </fill>
    <fill>
      <patternFill patternType="solid">
        <fgColor rgb="FF5E067C"/>
      </patternFill>
    </fill>
    <fill>
      <patternFill patternType="solid">
        <fgColor rgb="FFFAF7FC"/>
      </patternFill>
    </fill>
    <fill>
      <patternFill patternType="solid">
        <fgColor rgb="FF432A73"/>
      </patternFill>
    </fill>
    <fill>
      <patternFill patternType="solid">
        <fgColor rgb="FFF0E0BA"/>
      </patternFill>
    </fill>
    <fill>
      <patternFill patternType="solid">
        <fgColor rgb="FFF5F1F8"/>
      </patternFill>
    </fill>
  </fills>
  <borders count="7">
    <border>
      <left/>
      <right/>
      <top/>
      <bottom/>
      <diagonal/>
    </border>
    <border>
      <left style="thin">
        <color rgb="FFD4A856"/>
      </left>
      <right style="thin">
        <color rgb="FFD4A856"/>
      </right>
      <top style="thin">
        <color rgb="FFD4A856"/>
      </top>
      <bottom style="thin">
        <color rgb="FFD4A856"/>
      </bottom>
    </border>
    <border>
      <left style="thin">
        <color rgb="FFE8E4F0"/>
      </left>
      <right style="thin">
        <color rgb="FFE8E4F0"/>
      </right>
      <top style="thin">
        <color rgb="FFE8E4F0"/>
      </top>
      <bottom style="thin">
        <color rgb="FFE8E4F0"/>
      </bottom>
    </border>
    <border>
      <left/>
      <right/>
      <top style="thin">
        <color rgb="FFE8E4F0"/>
      </top>
      <bottom/>
      <diagonal/>
    </border>
    <border>
      <left/>
      <right style="thin">
        <color rgb="FFE8E4F0"/>
      </right>
      <top style="thin">
        <color rgb="FFE8E4F0"/>
      </top>
      <bottom/>
      <diagonal/>
    </border>
    <border>
      <left/>
      <right/>
      <top style="thin">
        <color rgb="FFE8E4F0"/>
      </top>
      <bottom style="thin">
        <color rgb="FFE8E4F0"/>
      </bottom>
      <diagonal/>
    </border>
    <border>
      <left/>
      <right style="thin">
        <color rgb="FFE8E4F0"/>
      </right>
      <top style="thin">
        <color rgb="FFE8E4F0"/>
      </top>
      <bottom style="thin">
        <color rgb="FFE8E4F0"/>
      </bottom>
      <diagonal/>
    </border>
  </borders>
  <cellStyleXfs count="1">
    <xf numFmtId="0" fontId="0" fillId="0" borderId="0"/>
  </cellStyleXfs>
  <cellXfs count="61">
    <xf numFmtId="0" fontId="0" fillId="0" borderId="0" pivotButton="0" quotePrefix="0" xfId="0"/>
    <xf numFmtId="0" fontId="1" fillId="2" borderId="0" applyAlignment="1" pivotButton="0" quotePrefix="0" xfId="0">
      <alignment horizontal="left" vertical="center" indent="1"/>
    </xf>
    <xf numFmtId="0" fontId="0" fillId="2" borderId="0" pivotButton="0" quotePrefix="0" xfId="0"/>
    <xf numFmtId="0" fontId="2" fillId="3" borderId="0" applyAlignment="1" pivotButton="0" quotePrefix="0" xfId="0">
      <alignment horizontal="left" vertical="center" indent="1"/>
    </xf>
    <xf numFmtId="0" fontId="0" fillId="3" borderId="0" pivotButton="0" quotePrefix="0" xfId="0"/>
    <xf numFmtId="0" fontId="3" fillId="4" borderId="0" applyAlignment="1" pivotButton="0" quotePrefix="0" xfId="0">
      <alignment vertical="center" indent="1"/>
    </xf>
    <xf numFmtId="0" fontId="4" fillId="5" borderId="0" applyAlignment="1" pivotButton="0" quotePrefix="0" xfId="0">
      <alignment horizontal="left" vertical="center" indent="1"/>
    </xf>
    <xf numFmtId="0" fontId="0" fillId="5" borderId="0" pivotButton="0" quotePrefix="0" xfId="0"/>
    <xf numFmtId="0" fontId="5" fillId="0" borderId="0" applyAlignment="1" pivotButton="0" quotePrefix="0" xfId="0">
      <alignment vertical="center" wrapText="1" indent="1"/>
    </xf>
    <xf numFmtId="3" fontId="7" fillId="6" borderId="1" applyAlignment="1" applyProtection="1" pivotButton="0" quotePrefix="0" xfId="0">
      <alignment horizontal="right" vertical="center"/>
      <protection locked="0" hidden="0"/>
    </xf>
    <xf numFmtId="0" fontId="8" fillId="0" borderId="0" applyAlignment="1" pivotButton="0" quotePrefix="0" xfId="0">
      <alignment vertical="center" indent="1"/>
    </xf>
    <xf numFmtId="0" fontId="6" fillId="0" borderId="0" applyAlignment="1" pivotButton="0" quotePrefix="0" xfId="0">
      <alignment vertical="center" wrapText="1"/>
    </xf>
    <xf numFmtId="3" fontId="9" fillId="7" borderId="2" applyAlignment="1" pivotButton="0" quotePrefix="0" xfId="0">
      <alignment horizontal="right" vertical="center"/>
    </xf>
    <xf numFmtId="164" fontId="9" fillId="7" borderId="2" applyAlignment="1" pivotButton="0" quotePrefix="0" xfId="0">
      <alignment horizontal="right" vertical="center"/>
    </xf>
    <xf numFmtId="164" fontId="7" fillId="6" borderId="1" applyAlignment="1" applyProtection="1" pivotButton="0" quotePrefix="0" xfId="0">
      <alignment horizontal="right" vertical="center"/>
      <protection locked="0" hidden="0"/>
    </xf>
    <xf numFmtId="1" fontId="7" fillId="6" borderId="1" applyAlignment="1" applyProtection="1" pivotButton="0" quotePrefix="0" xfId="0">
      <alignment horizontal="right" vertical="center"/>
      <protection locked="0" hidden="0"/>
    </xf>
    <xf numFmtId="165" fontId="7" fillId="6" borderId="1" applyAlignment="1" applyProtection="1" pivotButton="0" quotePrefix="0" xfId="0">
      <alignment horizontal="right" vertical="center"/>
      <protection locked="0" hidden="0"/>
    </xf>
    <xf numFmtId="0" fontId="10" fillId="7" borderId="0" applyAlignment="1" pivotButton="0" quotePrefix="0" xfId="0">
      <alignment vertical="top" wrapText="1" indent="1"/>
    </xf>
    <xf numFmtId="0" fontId="5" fillId="0" borderId="0" applyAlignment="1" pivotButton="0" quotePrefix="0" xfId="0">
      <alignment vertical="center" indent="1"/>
    </xf>
    <xf numFmtId="2" fontId="9" fillId="7" borderId="2" applyAlignment="1" pivotButton="0" quotePrefix="0" xfId="0">
      <alignment horizontal="right" vertical="center"/>
    </xf>
    <xf numFmtId="0" fontId="11" fillId="7" borderId="2" applyAlignment="1" pivotButton="0" quotePrefix="0" xfId="0">
      <alignment horizontal="left" vertical="center" indent="1"/>
    </xf>
    <xf numFmtId="0" fontId="0" fillId="0" borderId="5" pivotButton="0" quotePrefix="0" xfId="0"/>
    <xf numFmtId="0" fontId="0" fillId="0" borderId="6" pivotButton="0" quotePrefix="0" xfId="0"/>
    <xf numFmtId="1" fontId="9" fillId="7" borderId="2" applyAlignment="1" pivotButton="0" quotePrefix="0" xfId="0">
      <alignment horizontal="right" vertical="center"/>
    </xf>
    <xf numFmtId="0" fontId="12" fillId="2" borderId="2" applyAlignment="1" pivotButton="0" quotePrefix="0" xfId="0">
      <alignment horizontal="center" vertical="center" wrapText="1"/>
    </xf>
    <xf numFmtId="0" fontId="5" fillId="0" borderId="2" applyAlignment="1" pivotButton="0" quotePrefix="0" xfId="0">
      <alignment horizontal="center" vertical="center"/>
    </xf>
    <xf numFmtId="3" fontId="5" fillId="0" borderId="2" applyAlignment="1" pivotButton="0" quotePrefix="0" xfId="0">
      <alignment horizontal="right" vertical="center"/>
    </xf>
    <xf numFmtId="3" fontId="11" fillId="0" borderId="2" applyAlignment="1" pivotButton="0" quotePrefix="0" xfId="0">
      <alignment horizontal="right" vertical="center"/>
    </xf>
    <xf numFmtId="2" fontId="5" fillId="0" borderId="2" applyAlignment="1" pivotButton="0" quotePrefix="0" xfId="0">
      <alignment horizontal="right" vertical="center"/>
    </xf>
    <xf numFmtId="164" fontId="5" fillId="0" borderId="2" applyAlignment="1" pivotButton="0" quotePrefix="0" xfId="0">
      <alignment horizontal="right" vertical="center"/>
    </xf>
    <xf numFmtId="0" fontId="5" fillId="4" borderId="2" applyAlignment="1" pivotButton="0" quotePrefix="0" xfId="0">
      <alignment horizontal="center" vertical="center"/>
    </xf>
    <xf numFmtId="3" fontId="5" fillId="4" borderId="2" applyAlignment="1" pivotButton="0" quotePrefix="0" xfId="0">
      <alignment horizontal="right" vertical="center"/>
    </xf>
    <xf numFmtId="3" fontId="11" fillId="4" borderId="2" applyAlignment="1" pivotButton="0" quotePrefix="0" xfId="0">
      <alignment horizontal="right" vertical="center"/>
    </xf>
    <xf numFmtId="2" fontId="5" fillId="4" borderId="2" applyAlignment="1" pivotButton="0" quotePrefix="0" xfId="0">
      <alignment horizontal="right" vertical="center"/>
    </xf>
    <xf numFmtId="164" fontId="5" fillId="4" borderId="2" applyAlignment="1" pivotButton="0" quotePrefix="0" xfId="0">
      <alignment horizontal="right" vertical="center"/>
    </xf>
    <xf numFmtId="0" fontId="13" fillId="6" borderId="2" applyAlignment="1" pivotButton="0" quotePrefix="0" xfId="0">
      <alignment horizontal="center" vertical="center"/>
    </xf>
    <xf numFmtId="3" fontId="13" fillId="6" borderId="2" applyAlignment="1" pivotButton="0" quotePrefix="0" xfId="0">
      <alignment horizontal="right" vertical="center"/>
    </xf>
    <xf numFmtId="0" fontId="13" fillId="6" borderId="2" applyAlignment="1" pivotButton="0" quotePrefix="0" xfId="0">
      <alignment horizontal="right" vertical="center"/>
    </xf>
    <xf numFmtId="0" fontId="6" fillId="0" borderId="0" applyAlignment="1" pivotButton="0" quotePrefix="0" xfId="0">
      <alignment vertical="top" wrapText="1" indent="1"/>
    </xf>
    <xf numFmtId="0" fontId="13" fillId="0" borderId="0" pivotButton="0" quotePrefix="0" xfId="0"/>
    <xf numFmtId="0" fontId="4" fillId="3" borderId="0" applyAlignment="1" pivotButton="0" quotePrefix="0" xfId="0">
      <alignment horizontal="center" vertical="center"/>
    </xf>
    <xf numFmtId="0" fontId="4" fillId="2" borderId="0" applyAlignment="1" pivotButton="0" quotePrefix="0" xfId="0">
      <alignment horizontal="center" vertical="center"/>
    </xf>
    <xf numFmtId="0" fontId="4" fillId="5" borderId="0" applyAlignment="1" pivotButton="0" quotePrefix="0" xfId="0">
      <alignment horizontal="center" vertical="center"/>
    </xf>
    <xf numFmtId="164" fontId="13" fillId="6" borderId="1" applyAlignment="1" applyProtection="1" pivotButton="0" quotePrefix="0" xfId="0">
      <alignment horizontal="center" vertical="center"/>
      <protection locked="0" hidden="0"/>
    </xf>
    <xf numFmtId="165" fontId="13" fillId="6" borderId="1" applyAlignment="1" applyProtection="1" pivotButton="0" quotePrefix="0" xfId="0">
      <alignment horizontal="center" vertical="center"/>
      <protection locked="0" hidden="0"/>
    </xf>
    <xf numFmtId="0" fontId="4" fillId="3" borderId="0" applyAlignment="1" pivotButton="0" quotePrefix="0" xfId="0">
      <alignment horizontal="left" vertical="center" indent="1"/>
    </xf>
    <xf numFmtId="0" fontId="4" fillId="2" borderId="0" applyAlignment="1" pivotButton="0" quotePrefix="0" xfId="0">
      <alignment horizontal="left" vertical="center" indent="1"/>
    </xf>
    <xf numFmtId="3" fontId="14" fillId="7" borderId="2" applyAlignment="1" pivotButton="0" quotePrefix="0" xfId="0">
      <alignment horizontal="center" vertical="center"/>
    </xf>
    <xf numFmtId="2" fontId="14" fillId="7" borderId="2" applyAlignment="1" pivotButton="0" quotePrefix="0" xfId="0">
      <alignment horizontal="center" vertical="center"/>
    </xf>
    <xf numFmtId="1" fontId="14" fillId="7" borderId="2" applyAlignment="1" pivotButton="0" quotePrefix="0" xfId="0">
      <alignment horizontal="center" vertical="center"/>
    </xf>
    <xf numFmtId="0" fontId="15" fillId="7" borderId="0" applyAlignment="1" pivotButton="0" quotePrefix="0" xfId="0">
      <alignment vertical="top" wrapText="1" indent="1"/>
    </xf>
    <xf numFmtId="0" fontId="4" fillId="2" borderId="2" applyAlignment="1" pivotButton="0" quotePrefix="0" xfId="0">
      <alignment horizontal="center" vertical="center"/>
    </xf>
    <xf numFmtId="0" fontId="9" fillId="4" borderId="2" applyAlignment="1" pivotButton="0" quotePrefix="0" xfId="0">
      <alignment horizontal="center" vertical="center"/>
    </xf>
    <xf numFmtId="0" fontId="5" fillId="4" borderId="2" applyAlignment="1" pivotButton="0" quotePrefix="0" xfId="0">
      <alignment vertical="top" wrapText="1" indent="1"/>
    </xf>
    <xf numFmtId="0" fontId="10" fillId="4" borderId="2" applyAlignment="1" pivotButton="0" quotePrefix="0" xfId="0">
      <alignment vertical="top" wrapText="1" indent="1"/>
    </xf>
    <xf numFmtId="0" fontId="9" fillId="0" borderId="2" applyAlignment="1" pivotButton="0" quotePrefix="0" xfId="0">
      <alignment horizontal="center" vertical="center"/>
    </xf>
    <xf numFmtId="0" fontId="5" fillId="0" borderId="2" applyAlignment="1" pivotButton="0" quotePrefix="0" xfId="0">
      <alignment vertical="top" wrapText="1" indent="1"/>
    </xf>
    <xf numFmtId="0" fontId="10" fillId="0" borderId="2" applyAlignment="1" pivotButton="0" quotePrefix="0" xfId="0">
      <alignment vertical="top" wrapText="1" indent="1"/>
    </xf>
    <xf numFmtId="0" fontId="16" fillId="5" borderId="0" applyAlignment="1" pivotButton="0" quotePrefix="0" xfId="0">
      <alignment vertical="center" indent="1"/>
    </xf>
    <xf numFmtId="0" fontId="5" fillId="0" borderId="0" applyAlignment="1" pivotButton="0" quotePrefix="0" xfId="0">
      <alignment vertical="center" indent="2"/>
    </xf>
    <xf numFmtId="0" fontId="17" fillId="7" borderId="0" applyAlignment="1" pivotButton="0" quotePrefix="0" xfId="0">
      <alignmen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3"/>
  <sheetViews>
    <sheetView showGridLines="0" workbookViewId="0">
      <pane ySplit="4" topLeftCell="A5" activePane="bottomLeft" state="frozen"/>
      <selection pane="bottomLeft" activeCell="A1" sqref="A1"/>
    </sheetView>
  </sheetViews>
  <sheetFormatPr baseColWidth="8" defaultRowHeight="15"/>
  <cols>
    <col width="42" customWidth="1" min="1" max="1"/>
    <col width="16" customWidth="1" min="2" max="2"/>
    <col width="14" customWidth="1" min="3" max="3"/>
    <col width="46" customWidth="1" min="4" max="4"/>
  </cols>
  <sheetData>
    <row r="1" ht="34" customHeight="1">
      <c r="A1" s="1" t="inlineStr">
        <is>
          <t>MÁY TÍNH DÒNG TIỀN 10 NĂM</t>
        </is>
      </c>
      <c r="B1" s="2" t="n"/>
      <c r="C1" s="2" t="n"/>
      <c r="D1" s="2" t="n"/>
    </row>
    <row r="2" ht="20" customHeight="1">
      <c r="A2" s="3" t="inlineStr">
        <is>
          <t>DAPANO GROUP · Cash Flow First · Chỉ gõ vào những ô màu vàng</t>
        </is>
      </c>
      <c r="B2" s="4" t="n"/>
      <c r="C2" s="4" t="n"/>
      <c r="D2" s="4" t="n"/>
    </row>
    <row r="4" ht="20" customHeight="1">
      <c r="A4" s="5" t="inlineStr">
        <is>
          <t>Đơn vị tiền tệ dùng trong toàn bộ file: TRIỆU ĐỒNG. Ví dụ toà nhà 12 tỷ thì gõ 12000.</t>
        </is>
      </c>
    </row>
    <row r="6" ht="22" customHeight="1">
      <c r="A6" s="6" t="inlineStr">
        <is>
          <t>A · TIỀN BỎ RA ĐỂ SỞ HỮU</t>
        </is>
      </c>
      <c r="B6" s="7" t="n"/>
      <c r="C6" s="7" t="n"/>
      <c r="D6" s="7" t="n"/>
    </row>
    <row r="7" ht="20" customHeight="1">
      <c r="A7" s="8" t="inlineStr">
        <is>
          <t>Giá mua toà nhà</t>
        </is>
      </c>
      <c r="B7" s="9" t="n">
        <v>12000</v>
      </c>
      <c r="C7" s="10" t="inlineStr">
        <is>
          <t>triệu đồng</t>
        </is>
      </c>
      <c r="D7" s="11" t="inlineStr">
        <is>
          <t>Số ghi trên hợp đồng công chứng</t>
        </is>
      </c>
    </row>
    <row r="8" ht="20" customHeight="1">
      <c r="A8" s="8" t="inlineStr">
        <is>
          <t>Thuế, phí, công chứng</t>
        </is>
      </c>
      <c r="B8" s="9" t="n">
        <v>300</v>
      </c>
      <c r="C8" s="10" t="inlineStr">
        <is>
          <t>triệu đồng</t>
        </is>
      </c>
      <c r="D8" s="11" t="inlineStr">
        <is>
          <t>Thường 2–3% giá mua</t>
        </is>
      </c>
    </row>
    <row r="9" ht="20" customHeight="1">
      <c r="A9" s="8" t="inlineStr">
        <is>
          <t>Phí môi giới</t>
        </is>
      </c>
      <c r="B9" s="9" t="n">
        <v>120</v>
      </c>
      <c r="C9" s="10" t="inlineStr">
        <is>
          <t>triệu đồng</t>
        </is>
      </c>
      <c r="D9" s="11" t="inlineStr">
        <is>
          <t>Bỏ trống nếu mua trực tiếp</t>
        </is>
      </c>
    </row>
    <row r="10" ht="20" customHeight="1">
      <c r="A10" s="8" t="inlineStr">
        <is>
          <t>Chi phí cải tạo trước khi cho thuê</t>
        </is>
      </c>
      <c r="B10" s="9" t="n">
        <v>800</v>
      </c>
      <c r="C10" s="10" t="inlineStr">
        <is>
          <t>triệu đồng</t>
        </is>
      </c>
      <c r="D10" s="11" t="inlineStr">
        <is>
          <t>Điện nước, chống thấm, sơn, thang máy</t>
        </is>
      </c>
    </row>
    <row r="11" ht="20" customHeight="1">
      <c r="A11" s="8" t="inlineStr">
        <is>
          <t>TỔNG VỐN ĐẦU TƯ</t>
        </is>
      </c>
      <c r="B11" s="12">
        <f>SUM(B7:B10)</f>
        <v/>
      </c>
      <c r="C11" s="10" t="inlineStr">
        <is>
          <t>triệu đồng</t>
        </is>
      </c>
      <c r="D11" s="11" t="inlineStr">
        <is>
          <t>Đây mới là số tiền thật anh/chị bỏ vào tài sản</t>
        </is>
      </c>
    </row>
    <row r="13" ht="22" customHeight="1">
      <c r="A13" s="6" t="inlineStr">
        <is>
          <t>B · CẤU TRÚC VỐN</t>
        </is>
      </c>
      <c r="B13" s="7" t="n"/>
      <c r="C13" s="7" t="n"/>
      <c r="D13" s="7" t="n"/>
    </row>
    <row r="14" ht="20" customHeight="1">
      <c r="A14" s="8" t="inlineStr">
        <is>
          <t>Vốn tự có</t>
        </is>
      </c>
      <c r="B14" s="9" t="n">
        <v>9500</v>
      </c>
      <c r="C14" s="10" t="inlineStr">
        <is>
          <t>triệu đồng</t>
        </is>
      </c>
      <c r="D14" s="11" t="inlineStr">
        <is>
          <t>Tiền của mình, không phải tiền vay</t>
        </is>
      </c>
    </row>
    <row r="15" ht="20" customHeight="1">
      <c r="A15" s="8" t="inlineStr">
        <is>
          <t>Số tiền vay ngân hàng</t>
        </is>
      </c>
      <c r="B15" s="12">
        <f>MAX(0,B11-B14)</f>
        <v/>
      </c>
      <c r="C15" s="10" t="inlineStr">
        <is>
          <t>triệu đồng</t>
        </is>
      </c>
      <c r="D15" s="11" t="inlineStr">
        <is>
          <t>Tự tính = tổng vốn − vốn tự có</t>
        </is>
      </c>
    </row>
    <row r="16" ht="20" customHeight="1">
      <c r="A16" s="8" t="inlineStr">
        <is>
          <t>Tỷ lệ vay trên tổng vốn</t>
        </is>
      </c>
      <c r="B16" s="13">
        <f>IF(B11&lt;=0,0,B15/B11)</f>
        <v/>
      </c>
      <c r="C16" s="10" t="inlineStr"/>
      <c r="D16" s="11" t="inlineStr">
        <is>
          <t>Trên 70% là vùng rủi ro cao</t>
        </is>
      </c>
    </row>
    <row r="17" ht="20" customHeight="1">
      <c r="A17" s="8" t="inlineStr">
        <is>
          <t>Lãi suất năm đầu (ưu đãi)</t>
        </is>
      </c>
      <c r="B17" s="14" t="n">
        <v>0.08500000000000001</v>
      </c>
      <c r="C17" s="10" t="inlineStr">
        <is>
          <t>%/năm</t>
        </is>
      </c>
      <c r="D17" s="11" t="inlineStr">
        <is>
          <t>Gõ 8,5% thì nhập 8.5%</t>
        </is>
      </c>
    </row>
    <row r="18" ht="20" customHeight="1">
      <c r="A18" s="8" t="inlineStr">
        <is>
          <t>Lãi suất thả nổi các năm sau</t>
        </is>
      </c>
      <c r="B18" s="14" t="n">
        <v>0.115</v>
      </c>
      <c r="C18" s="10" t="inlineStr">
        <is>
          <t>%/năm</t>
        </is>
      </c>
      <c r="D18" s="11" t="inlineStr">
        <is>
          <t>Hỏi ngân hàng biên độ cộng thêm là bao nhiêu</t>
        </is>
      </c>
    </row>
    <row r="19" ht="20" customHeight="1">
      <c r="A19" s="8" t="inlineStr">
        <is>
          <t>Kỳ hạn vay</t>
        </is>
      </c>
      <c r="B19" s="15" t="n">
        <v>20</v>
      </c>
      <c r="C19" s="10" t="inlineStr">
        <is>
          <t>năm</t>
        </is>
      </c>
      <c r="D19" s="11" t="inlineStr">
        <is>
          <t>Trả gốc đều, lãi tính trên dư nợ giảm dần</t>
        </is>
      </c>
    </row>
    <row r="21" ht="22" customHeight="1">
      <c r="A21" s="6" t="inlineStr">
        <is>
          <t>C · VẬN HÀNH CHO THUÊ</t>
        </is>
      </c>
      <c r="B21" s="7" t="n"/>
      <c r="C21" s="7" t="n"/>
      <c r="D21" s="7" t="n"/>
    </row>
    <row r="22" ht="20" customHeight="1">
      <c r="A22" s="8" t="inlineStr">
        <is>
          <t>Giá thuê thu được mỗi tháng</t>
        </is>
      </c>
      <c r="B22" s="9" t="n">
        <v>75</v>
      </c>
      <c r="C22" s="10" t="inlineStr">
        <is>
          <t>triệu/tháng</t>
        </is>
      </c>
      <c r="D22" s="11" t="inlineStr">
        <is>
          <t>Giá đã ký được, không phải giá kỳ vọng</t>
        </is>
      </c>
    </row>
    <row r="23" ht="20" customHeight="1">
      <c r="A23" s="8" t="inlineStr">
        <is>
          <t>Số tháng để trống mỗi năm</t>
        </is>
      </c>
      <c r="B23" s="16" t="n">
        <v>1</v>
      </c>
      <c r="C23" s="10" t="inlineStr">
        <is>
          <t>tháng</t>
        </is>
      </c>
      <c r="D23" s="11" t="inlineStr">
        <is>
          <t>Thực tế thường 0,5–2 tháng. Không có toà nào bằng 0 mãi</t>
        </is>
      </c>
    </row>
    <row r="24" ht="20" customHeight="1">
      <c r="A24" s="8" t="inlineStr">
        <is>
          <t>Chi phí vận hành mỗi tháng</t>
        </is>
      </c>
      <c r="B24" s="9" t="n">
        <v>6</v>
      </c>
      <c r="C24" s="10" t="inlineStr">
        <is>
          <t>triệu/tháng</t>
        </is>
      </c>
      <c r="D24" s="11" t="inlineStr">
        <is>
          <t>Quản lý, sửa chữa, bảo hiểm, phí. Đừng để trống ô này</t>
        </is>
      </c>
    </row>
    <row r="25" ht="20" customHeight="1">
      <c r="A25" s="8" t="inlineStr">
        <is>
          <t>Thuế cho thuê</t>
        </is>
      </c>
      <c r="B25" s="14" t="n">
        <v>0.1</v>
      </c>
      <c r="C25" s="10" t="inlineStr">
        <is>
          <t>% doanh thu</t>
        </is>
      </c>
      <c r="D25" s="11" t="inlineStr">
        <is>
          <t>Cá nhân cho thuê thường 10% doanh thu</t>
        </is>
      </c>
    </row>
    <row r="27" ht="22" customHeight="1">
      <c r="A27" s="6" t="inlineStr">
        <is>
          <t>D · GIẢ ĐỊNH DÀI HẠN</t>
        </is>
      </c>
      <c r="B27" s="7" t="n"/>
      <c r="C27" s="7" t="n"/>
      <c r="D27" s="7" t="n"/>
    </row>
    <row r="28" ht="20" customHeight="1">
      <c r="A28" s="8" t="inlineStr">
        <is>
          <t>Tốc độ tăng giá thuê mỗi năm</t>
        </is>
      </c>
      <c r="B28" s="14" t="n">
        <v>0.04</v>
      </c>
      <c r="C28" s="10" t="inlineStr">
        <is>
          <t>%/năm</t>
        </is>
      </c>
      <c r="D28" s="11" t="inlineStr">
        <is>
          <t>Đừng lạc quan quá. 3–5% là hợp lý</t>
        </is>
      </c>
    </row>
    <row r="29" ht="20" customHeight="1">
      <c r="A29" s="8" t="inlineStr">
        <is>
          <t>Tốc độ tăng chi phí vận hành mỗi năm</t>
        </is>
      </c>
      <c r="B29" s="14" t="n">
        <v>0.05</v>
      </c>
      <c r="C29" s="10" t="inlineStr">
        <is>
          <t>%/năm</t>
        </is>
      </c>
      <c r="D29" s="11" t="inlineStr">
        <is>
          <t>Chi phí luôn tăng nhanh hơn ta tưởng</t>
        </is>
      </c>
    </row>
    <row r="31">
      <c r="A31" s="17" t="inlineStr">
        <is>
          <t>Nhập xong, mở sang sheet 2 để xem dòng tiền 10 năm, sheet 3 để xem ba kịch bản.
Nếu chưa biết một con số nào đó, cứ để nguyên số mẫu rồi sửa sau — máy tính không vỡ.
Em luôn sẵn sàng ngồi cùng anh/chị đọc lại kết quả này.  ·  DAPANO GROUP</t>
        </is>
      </c>
    </row>
    <row r="32"/>
    <row r="33"/>
  </sheetData>
  <sheetProtection selectLockedCells="0" selectUnlockedCells="0" sheet="1" objects="0" insertRows="1" insertHyperlinks="1" autoFilter="1" scenarios="0" formatColumns="1" deleteColumns="1" insertColumns="1" pivotTables="1" deleteRows="1" formatCells="1" formatRows="1" sort="1"/>
  <mergeCells count="8">
    <mergeCell ref="A1:D1"/>
    <mergeCell ref="A27:D27"/>
    <mergeCell ref="A6:D6"/>
    <mergeCell ref="A4:D4"/>
    <mergeCell ref="A21:D21"/>
    <mergeCell ref="A2:D2"/>
    <mergeCell ref="A31:D33"/>
    <mergeCell ref="A13:D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8"/>
  <sheetViews>
    <sheetView showGridLines="0" workbookViewId="0">
      <pane ySplit="14" topLeftCell="A15" activePane="bottomLeft" state="frozen"/>
      <selection pane="bottomLeft" activeCell="A1" sqref="A1"/>
    </sheetView>
  </sheetViews>
  <sheetFormatPr baseColWidth="8" defaultRowHeight="15"/>
  <cols>
    <col width="7" customWidth="1" min="1" max="1"/>
    <col width="15" customWidth="1" min="2" max="2"/>
    <col width="15" customWidth="1" min="3" max="3"/>
    <col width="14" customWidth="1" min="4" max="4"/>
    <col width="13" customWidth="1" min="5" max="5"/>
    <col width="14" customWidth="1" min="6" max="6"/>
    <col width="12" customWidth="1" min="7" max="7"/>
    <col width="12" customWidth="1" min="8" max="8"/>
    <col width="13" customWidth="1" min="9" max="9"/>
    <col width="15" customWidth="1" min="10" max="10"/>
    <col width="9" customWidth="1" min="11" max="11"/>
    <col width="16" customWidth="1" min="12" max="12"/>
    <col width="15" customWidth="1" min="13" max="13"/>
    <col width="16" customWidth="1" min="14" max="14"/>
  </cols>
  <sheetData>
    <row r="1" ht="34" customHeight="1">
      <c r="A1" s="1" t="inlineStr">
        <is>
          <t>KẾT QUẢ 10 NĂM</t>
        </is>
      </c>
      <c r="B1" s="2" t="n"/>
      <c r="C1" s="2" t="n"/>
      <c r="D1" s="2" t="n"/>
      <c r="E1" s="2" t="n"/>
      <c r="F1" s="2" t="n"/>
      <c r="G1" s="2" t="n"/>
      <c r="H1" s="2" t="n"/>
      <c r="I1" s="2" t="n"/>
      <c r="J1" s="2" t="n"/>
      <c r="K1" s="2" t="n"/>
      <c r="L1" s="2" t="n"/>
      <c r="M1" s="2" t="n"/>
      <c r="N1" s="2" t="n"/>
    </row>
    <row r="2" ht="20" customHeight="1">
      <c r="A2" s="3" t="inlineStr">
        <is>
          <t>Toàn bộ ô ở sheet này tự tính — không cần gõ gì</t>
        </is>
      </c>
      <c r="B2" s="4" t="n"/>
      <c r="C2" s="4" t="n"/>
      <c r="D2" s="4" t="n"/>
      <c r="E2" s="4" t="n"/>
      <c r="F2" s="4" t="n"/>
      <c r="G2" s="4" t="n"/>
      <c r="H2" s="4" t="n"/>
      <c r="I2" s="4" t="n"/>
      <c r="J2" s="4" t="n"/>
      <c r="K2" s="4" t="n"/>
      <c r="L2" s="4" t="n"/>
      <c r="M2" s="4" t="n"/>
      <c r="N2" s="4" t="n"/>
    </row>
    <row r="4" ht="22" customHeight="1">
      <c r="A4" s="6" t="inlineStr">
        <is>
          <t>TÓM TẮT — ĐỌC BA DÒNG NÀY TRƯỚC</t>
        </is>
      </c>
      <c r="B4" s="7" t="n"/>
      <c r="C4" s="7" t="n"/>
      <c r="D4" s="7" t="n"/>
      <c r="E4" s="7" t="n"/>
      <c r="F4" s="7" t="n"/>
      <c r="G4" s="7" t="n"/>
      <c r="H4" s="7" t="n"/>
      <c r="I4" s="7" t="n"/>
      <c r="J4" s="7" t="n"/>
      <c r="K4" s="7" t="n"/>
      <c r="L4" s="7" t="n"/>
      <c r="M4" s="7" t="n"/>
      <c r="N4" s="7" t="n"/>
    </row>
    <row r="5" ht="19" customHeight="1">
      <c r="A5" s="18" t="inlineStr">
        <is>
          <t>NOI năm 1 (lãi ròng trước trả nợ)</t>
        </is>
      </c>
      <c r="E5" s="12">
        <f>E15</f>
        <v/>
      </c>
      <c r="F5" s="10" t="inlineStr">
        <is>
          <t>triệu/năm</t>
        </is>
      </c>
    </row>
    <row r="6" ht="19" customHeight="1">
      <c r="A6" s="18" t="inlineStr">
        <is>
          <t>Cap Rate trên tổng vốn (năm 1)</t>
        </is>
      </c>
      <c r="E6" s="13">
        <f>N15</f>
        <v/>
      </c>
      <c r="F6" s="10" t="inlineStr"/>
    </row>
    <row r="7" ht="19" customHeight="1">
      <c r="A7" s="18" t="inlineStr">
        <is>
          <t>Dòng tiền ròng năm 1</t>
        </is>
      </c>
      <c r="E7" s="12">
        <f>J15</f>
        <v/>
      </c>
      <c r="F7" s="10" t="inlineStr">
        <is>
          <t>triệu/năm</t>
        </is>
      </c>
    </row>
    <row r="8" ht="19" customHeight="1">
      <c r="A8" s="18" t="inlineStr">
        <is>
          <t>Dòng tiền ròng bình quân tháng (năm 1)</t>
        </is>
      </c>
      <c r="E8" s="12">
        <f>J15/12</f>
        <v/>
      </c>
      <c r="F8" s="10" t="inlineStr">
        <is>
          <t>triệu/tháng</t>
        </is>
      </c>
    </row>
    <row r="9" ht="19" customHeight="1">
      <c r="A9" s="18" t="inlineStr">
        <is>
          <t>DSCR năm 1</t>
        </is>
      </c>
      <c r="E9" s="19">
        <f>K15</f>
        <v/>
      </c>
      <c r="F9" s="10" t="inlineStr"/>
    </row>
    <row r="10" ht="19" customHeight="1">
      <c r="A10" s="18" t="inlineStr">
        <is>
          <t>Đèn cảnh báo DSCR</t>
        </is>
      </c>
      <c r="E10" s="20">
        <f>IF(I15&lt;=0,"Không vay — không có rủi ro trả nợ",IF(E15/I15&lt;1.2,"ĐÈN ĐỎ · DSCR dưới 1,2 — đòn bẩy quá căng",IF(E15/I15&lt;1.5,"ĐÈN VÀNG · an toàn vừa đủ, đừng vay thêm","ĐÈN XANH · dòng tiền gánh được nợ")))</f>
        <v/>
      </c>
      <c r="F10" s="21" t="n"/>
      <c r="G10" s="21" t="n"/>
      <c r="H10" s="21" t="n"/>
      <c r="I10" s="22" t="n"/>
    </row>
    <row r="11" ht="19" customHeight="1">
      <c r="A11" s="18" t="inlineStr">
        <is>
          <t>Dòng tiền chuyển dương từ năm thứ</t>
        </is>
      </c>
      <c r="E11" s="23">
        <f>IFERROR(MATCH(TRUE,INDEX($J$15:$J$24&gt;0,0),0),"chưa dương trong 10 năm")</f>
        <v/>
      </c>
      <c r="F11" s="10" t="inlineStr"/>
    </row>
    <row r="12" ht="19" customHeight="1">
      <c r="A12" s="18" t="inlineStr">
        <is>
          <t>Dòng tiền luỹ kế 10 năm so với vốn tự có</t>
        </is>
      </c>
      <c r="E12" s="13">
        <f>IF('1. Nhập liệu'!$B$14&lt;=0,"—",L24/'1. Nhập liệu'!$B$14)</f>
        <v/>
      </c>
      <c r="F12" s="10" t="inlineStr">
        <is>
          <t>chưa tính phần tăng giá tài sản</t>
        </is>
      </c>
    </row>
    <row r="13" ht="19" customHeight="1">
      <c r="A13" s="18" t="inlineStr">
        <is>
          <t>Tổng dòng tiền ròng 10 năm</t>
        </is>
      </c>
      <c r="E13" s="12">
        <f>SUM(J15:J24)</f>
        <v/>
      </c>
      <c r="F13" s="10" t="inlineStr">
        <is>
          <t>triệu</t>
        </is>
      </c>
    </row>
    <row r="14" ht="32" customHeight="1">
      <c r="A14" s="24" t="inlineStr">
        <is>
          <t>Năm</t>
        </is>
      </c>
      <c r="B14" s="24" t="inlineStr">
        <is>
          <t>Doanh thu thuê</t>
        </is>
      </c>
      <c r="C14" s="24" t="inlineStr">
        <is>
          <t>Chi phí vận hành</t>
        </is>
      </c>
      <c r="D14" s="24" t="inlineStr">
        <is>
          <t>Thuế cho thuê</t>
        </is>
      </c>
      <c r="E14" s="24" t="inlineStr">
        <is>
          <t>NOI</t>
        </is>
      </c>
      <c r="F14" s="24" t="inlineStr">
        <is>
          <t>Dư nợ đầu năm</t>
        </is>
      </c>
      <c r="G14" s="24" t="inlineStr">
        <is>
          <t>Trả gốc</t>
        </is>
      </c>
      <c r="H14" s="24" t="inlineStr">
        <is>
          <t>Trả lãi</t>
        </is>
      </c>
      <c r="I14" s="24" t="inlineStr">
        <is>
          <t>Tổng trả nợ</t>
        </is>
      </c>
      <c r="J14" s="24" t="inlineStr">
        <is>
          <t>Dòng tiền ròng</t>
        </is>
      </c>
      <c r="K14" s="24" t="inlineStr">
        <is>
          <t>DSCR</t>
        </is>
      </c>
      <c r="L14" s="24" t="inlineStr">
        <is>
          <t>Dòng tiền luỹ kế</t>
        </is>
      </c>
      <c r="M14" s="24" t="inlineStr">
        <is>
          <t>Cap Rate / giá mua</t>
        </is>
      </c>
      <c r="N14" s="24" t="inlineStr">
        <is>
          <t>Cap Rate / tổng vốn</t>
        </is>
      </c>
    </row>
    <row r="15" ht="19" customHeight="1">
      <c r="A15" s="25" t="n">
        <v>1</v>
      </c>
      <c r="B15" s="26">
        <f>ROUND('1. Nhập liệu'!$B$22*MAX(0,12-'1. Nhập liệu'!$B$23)*(1+'1. Nhập liệu'!$B$28)^(A15-1),0)</f>
        <v/>
      </c>
      <c r="C15" s="26">
        <f>ROUND('1. Nhập liệu'!$B$24*12*(1+'1. Nhập liệu'!$B$29)^(A15-1),0)</f>
        <v/>
      </c>
      <c r="D15" s="26">
        <f>ROUND(B15*'1. Nhập liệu'!$B$25,0)</f>
        <v/>
      </c>
      <c r="E15" s="26">
        <f>B15-C15-D15</f>
        <v/>
      </c>
      <c r="F15" s="26">
        <f>MAX(0,'1. Nhập liệu'!$B$15-IF('1. Nhập liệu'!$B$19&lt;=0,0,'1. Nhập liệu'!$B$15/'1. Nhập liệu'!$B$19)*(A15-1))</f>
        <v/>
      </c>
      <c r="G15" s="26">
        <f>MIN(IF('1. Nhập liệu'!$B$19&lt;=0,0,'1. Nhập liệu'!$B$15/'1. Nhập liệu'!$B$19),F15)</f>
        <v/>
      </c>
      <c r="H15" s="26">
        <f>ROUND((F15+(F15-G15))/2*IF(A15=1,'1. Nhập liệu'!$B$17,'1. Nhập liệu'!$B$18),0)</f>
        <v/>
      </c>
      <c r="I15" s="26">
        <f>G15+H15</f>
        <v/>
      </c>
      <c r="J15" s="27">
        <f>E15-I15</f>
        <v/>
      </c>
      <c r="K15" s="28">
        <f>IF(I15&lt;=0,"—",ROUND(E15/I15,2))</f>
        <v/>
      </c>
      <c r="L15" s="26">
        <f>J15</f>
        <v/>
      </c>
      <c r="M15" s="29">
        <f>IF('1. Nhập liệu'!$B$7&lt;=0,"—",E15/'1. Nhập liệu'!$B$7)</f>
        <v/>
      </c>
      <c r="N15" s="29">
        <f>IF('1. Nhập liệu'!$B$11&lt;=0,"—",E15/'1. Nhập liệu'!$B$11)</f>
        <v/>
      </c>
    </row>
    <row r="16" ht="19" customHeight="1">
      <c r="A16" s="30" t="n">
        <v>2</v>
      </c>
      <c r="B16" s="31">
        <f>ROUND('1. Nhập liệu'!$B$22*MAX(0,12-'1. Nhập liệu'!$B$23)*(1+'1. Nhập liệu'!$B$28)^(A16-1),0)</f>
        <v/>
      </c>
      <c r="C16" s="31">
        <f>ROUND('1. Nhập liệu'!$B$24*12*(1+'1. Nhập liệu'!$B$29)^(A16-1),0)</f>
        <v/>
      </c>
      <c r="D16" s="31">
        <f>ROUND(B16*'1. Nhập liệu'!$B$25,0)</f>
        <v/>
      </c>
      <c r="E16" s="31">
        <f>B16-C16-D16</f>
        <v/>
      </c>
      <c r="F16" s="31">
        <f>MAX(0,'1. Nhập liệu'!$B$15-IF('1. Nhập liệu'!$B$19&lt;=0,0,'1. Nhập liệu'!$B$15/'1. Nhập liệu'!$B$19)*(A16-1))</f>
        <v/>
      </c>
      <c r="G16" s="31">
        <f>MIN(IF('1. Nhập liệu'!$B$19&lt;=0,0,'1. Nhập liệu'!$B$15/'1. Nhập liệu'!$B$19),F16)</f>
        <v/>
      </c>
      <c r="H16" s="31">
        <f>ROUND((F16+(F16-G16))/2*IF(A16=1,'1. Nhập liệu'!$B$17,'1. Nhập liệu'!$B$18),0)</f>
        <v/>
      </c>
      <c r="I16" s="31">
        <f>G16+H16</f>
        <v/>
      </c>
      <c r="J16" s="32">
        <f>E16-I16</f>
        <v/>
      </c>
      <c r="K16" s="33">
        <f>IF(I16&lt;=0,"—",ROUND(E16/I16,2))</f>
        <v/>
      </c>
      <c r="L16" s="31">
        <f>L15+J16</f>
        <v/>
      </c>
      <c r="M16" s="34">
        <f>IF('1. Nhập liệu'!$B$7&lt;=0,"—",E16/'1. Nhập liệu'!$B$7)</f>
        <v/>
      </c>
      <c r="N16" s="34">
        <f>IF('1. Nhập liệu'!$B$11&lt;=0,"—",E16/'1. Nhập liệu'!$B$11)</f>
        <v/>
      </c>
    </row>
    <row r="17" ht="19" customHeight="1">
      <c r="A17" s="25" t="n">
        <v>3</v>
      </c>
      <c r="B17" s="26">
        <f>ROUND('1. Nhập liệu'!$B$22*MAX(0,12-'1. Nhập liệu'!$B$23)*(1+'1. Nhập liệu'!$B$28)^(A17-1),0)</f>
        <v/>
      </c>
      <c r="C17" s="26">
        <f>ROUND('1. Nhập liệu'!$B$24*12*(1+'1. Nhập liệu'!$B$29)^(A17-1),0)</f>
        <v/>
      </c>
      <c r="D17" s="26">
        <f>ROUND(B17*'1. Nhập liệu'!$B$25,0)</f>
        <v/>
      </c>
      <c r="E17" s="26">
        <f>B17-C17-D17</f>
        <v/>
      </c>
      <c r="F17" s="26">
        <f>MAX(0,'1. Nhập liệu'!$B$15-IF('1. Nhập liệu'!$B$19&lt;=0,0,'1. Nhập liệu'!$B$15/'1. Nhập liệu'!$B$19)*(A17-1))</f>
        <v/>
      </c>
      <c r="G17" s="26">
        <f>MIN(IF('1. Nhập liệu'!$B$19&lt;=0,0,'1. Nhập liệu'!$B$15/'1. Nhập liệu'!$B$19),F17)</f>
        <v/>
      </c>
      <c r="H17" s="26">
        <f>ROUND((F17+(F17-G17))/2*IF(A17=1,'1. Nhập liệu'!$B$17,'1. Nhập liệu'!$B$18),0)</f>
        <v/>
      </c>
      <c r="I17" s="26">
        <f>G17+H17</f>
        <v/>
      </c>
      <c r="J17" s="27">
        <f>E17-I17</f>
        <v/>
      </c>
      <c r="K17" s="28">
        <f>IF(I17&lt;=0,"—",ROUND(E17/I17,2))</f>
        <v/>
      </c>
      <c r="L17" s="26">
        <f>L16+J17</f>
        <v/>
      </c>
      <c r="M17" s="29">
        <f>IF('1. Nhập liệu'!$B$7&lt;=0,"—",E17/'1. Nhập liệu'!$B$7)</f>
        <v/>
      </c>
      <c r="N17" s="29">
        <f>IF('1. Nhập liệu'!$B$11&lt;=0,"—",E17/'1. Nhập liệu'!$B$11)</f>
        <v/>
      </c>
    </row>
    <row r="18" ht="19" customHeight="1">
      <c r="A18" s="30" t="n">
        <v>4</v>
      </c>
      <c r="B18" s="31">
        <f>ROUND('1. Nhập liệu'!$B$22*MAX(0,12-'1. Nhập liệu'!$B$23)*(1+'1. Nhập liệu'!$B$28)^(A18-1),0)</f>
        <v/>
      </c>
      <c r="C18" s="31">
        <f>ROUND('1. Nhập liệu'!$B$24*12*(1+'1. Nhập liệu'!$B$29)^(A18-1),0)</f>
        <v/>
      </c>
      <c r="D18" s="31">
        <f>ROUND(B18*'1. Nhập liệu'!$B$25,0)</f>
        <v/>
      </c>
      <c r="E18" s="31">
        <f>B18-C18-D18</f>
        <v/>
      </c>
      <c r="F18" s="31">
        <f>MAX(0,'1. Nhập liệu'!$B$15-IF('1. Nhập liệu'!$B$19&lt;=0,0,'1. Nhập liệu'!$B$15/'1. Nhập liệu'!$B$19)*(A18-1))</f>
        <v/>
      </c>
      <c r="G18" s="31">
        <f>MIN(IF('1. Nhập liệu'!$B$19&lt;=0,0,'1. Nhập liệu'!$B$15/'1. Nhập liệu'!$B$19),F18)</f>
        <v/>
      </c>
      <c r="H18" s="31">
        <f>ROUND((F18+(F18-G18))/2*IF(A18=1,'1. Nhập liệu'!$B$17,'1. Nhập liệu'!$B$18),0)</f>
        <v/>
      </c>
      <c r="I18" s="31">
        <f>G18+H18</f>
        <v/>
      </c>
      <c r="J18" s="32">
        <f>E18-I18</f>
        <v/>
      </c>
      <c r="K18" s="33">
        <f>IF(I18&lt;=0,"—",ROUND(E18/I18,2))</f>
        <v/>
      </c>
      <c r="L18" s="31">
        <f>L17+J18</f>
        <v/>
      </c>
      <c r="M18" s="34">
        <f>IF('1. Nhập liệu'!$B$7&lt;=0,"—",E18/'1. Nhập liệu'!$B$7)</f>
        <v/>
      </c>
      <c r="N18" s="34">
        <f>IF('1. Nhập liệu'!$B$11&lt;=0,"—",E18/'1. Nhập liệu'!$B$11)</f>
        <v/>
      </c>
    </row>
    <row r="19" ht="19" customHeight="1">
      <c r="A19" s="25" t="n">
        <v>5</v>
      </c>
      <c r="B19" s="26">
        <f>ROUND('1. Nhập liệu'!$B$22*MAX(0,12-'1. Nhập liệu'!$B$23)*(1+'1. Nhập liệu'!$B$28)^(A19-1),0)</f>
        <v/>
      </c>
      <c r="C19" s="26">
        <f>ROUND('1. Nhập liệu'!$B$24*12*(1+'1. Nhập liệu'!$B$29)^(A19-1),0)</f>
        <v/>
      </c>
      <c r="D19" s="26">
        <f>ROUND(B19*'1. Nhập liệu'!$B$25,0)</f>
        <v/>
      </c>
      <c r="E19" s="26">
        <f>B19-C19-D19</f>
        <v/>
      </c>
      <c r="F19" s="26">
        <f>MAX(0,'1. Nhập liệu'!$B$15-IF('1. Nhập liệu'!$B$19&lt;=0,0,'1. Nhập liệu'!$B$15/'1. Nhập liệu'!$B$19)*(A19-1))</f>
        <v/>
      </c>
      <c r="G19" s="26">
        <f>MIN(IF('1. Nhập liệu'!$B$19&lt;=0,0,'1. Nhập liệu'!$B$15/'1. Nhập liệu'!$B$19),F19)</f>
        <v/>
      </c>
      <c r="H19" s="26">
        <f>ROUND((F19+(F19-G19))/2*IF(A19=1,'1. Nhập liệu'!$B$17,'1. Nhập liệu'!$B$18),0)</f>
        <v/>
      </c>
      <c r="I19" s="26">
        <f>G19+H19</f>
        <v/>
      </c>
      <c r="J19" s="27">
        <f>E19-I19</f>
        <v/>
      </c>
      <c r="K19" s="28">
        <f>IF(I19&lt;=0,"—",ROUND(E19/I19,2))</f>
        <v/>
      </c>
      <c r="L19" s="26">
        <f>L18+J19</f>
        <v/>
      </c>
      <c r="M19" s="29">
        <f>IF('1. Nhập liệu'!$B$7&lt;=0,"—",E19/'1. Nhập liệu'!$B$7)</f>
        <v/>
      </c>
      <c r="N19" s="29">
        <f>IF('1. Nhập liệu'!$B$11&lt;=0,"—",E19/'1. Nhập liệu'!$B$11)</f>
        <v/>
      </c>
    </row>
    <row r="20" ht="19" customHeight="1">
      <c r="A20" s="30" t="n">
        <v>6</v>
      </c>
      <c r="B20" s="31">
        <f>ROUND('1. Nhập liệu'!$B$22*MAX(0,12-'1. Nhập liệu'!$B$23)*(1+'1. Nhập liệu'!$B$28)^(A20-1),0)</f>
        <v/>
      </c>
      <c r="C20" s="31">
        <f>ROUND('1. Nhập liệu'!$B$24*12*(1+'1. Nhập liệu'!$B$29)^(A20-1),0)</f>
        <v/>
      </c>
      <c r="D20" s="31">
        <f>ROUND(B20*'1. Nhập liệu'!$B$25,0)</f>
        <v/>
      </c>
      <c r="E20" s="31">
        <f>B20-C20-D20</f>
        <v/>
      </c>
      <c r="F20" s="31">
        <f>MAX(0,'1. Nhập liệu'!$B$15-IF('1. Nhập liệu'!$B$19&lt;=0,0,'1. Nhập liệu'!$B$15/'1. Nhập liệu'!$B$19)*(A20-1))</f>
        <v/>
      </c>
      <c r="G20" s="31">
        <f>MIN(IF('1. Nhập liệu'!$B$19&lt;=0,0,'1. Nhập liệu'!$B$15/'1. Nhập liệu'!$B$19),F20)</f>
        <v/>
      </c>
      <c r="H20" s="31">
        <f>ROUND((F20+(F20-G20))/2*IF(A20=1,'1. Nhập liệu'!$B$17,'1. Nhập liệu'!$B$18),0)</f>
        <v/>
      </c>
      <c r="I20" s="31">
        <f>G20+H20</f>
        <v/>
      </c>
      <c r="J20" s="32">
        <f>E20-I20</f>
        <v/>
      </c>
      <c r="K20" s="33">
        <f>IF(I20&lt;=0,"—",ROUND(E20/I20,2))</f>
        <v/>
      </c>
      <c r="L20" s="31">
        <f>L19+J20</f>
        <v/>
      </c>
      <c r="M20" s="34">
        <f>IF('1. Nhập liệu'!$B$7&lt;=0,"—",E20/'1. Nhập liệu'!$B$7)</f>
        <v/>
      </c>
      <c r="N20" s="34">
        <f>IF('1. Nhập liệu'!$B$11&lt;=0,"—",E20/'1. Nhập liệu'!$B$11)</f>
        <v/>
      </c>
    </row>
    <row r="21" ht="19" customHeight="1">
      <c r="A21" s="25" t="n">
        <v>7</v>
      </c>
      <c r="B21" s="26">
        <f>ROUND('1. Nhập liệu'!$B$22*MAX(0,12-'1. Nhập liệu'!$B$23)*(1+'1. Nhập liệu'!$B$28)^(A21-1),0)</f>
        <v/>
      </c>
      <c r="C21" s="26">
        <f>ROUND('1. Nhập liệu'!$B$24*12*(1+'1. Nhập liệu'!$B$29)^(A21-1),0)</f>
        <v/>
      </c>
      <c r="D21" s="26">
        <f>ROUND(B21*'1. Nhập liệu'!$B$25,0)</f>
        <v/>
      </c>
      <c r="E21" s="26">
        <f>B21-C21-D21</f>
        <v/>
      </c>
      <c r="F21" s="26">
        <f>MAX(0,'1. Nhập liệu'!$B$15-IF('1. Nhập liệu'!$B$19&lt;=0,0,'1. Nhập liệu'!$B$15/'1. Nhập liệu'!$B$19)*(A21-1))</f>
        <v/>
      </c>
      <c r="G21" s="26">
        <f>MIN(IF('1. Nhập liệu'!$B$19&lt;=0,0,'1. Nhập liệu'!$B$15/'1. Nhập liệu'!$B$19),F21)</f>
        <v/>
      </c>
      <c r="H21" s="26">
        <f>ROUND((F21+(F21-G21))/2*IF(A21=1,'1. Nhập liệu'!$B$17,'1. Nhập liệu'!$B$18),0)</f>
        <v/>
      </c>
      <c r="I21" s="26">
        <f>G21+H21</f>
        <v/>
      </c>
      <c r="J21" s="27">
        <f>E21-I21</f>
        <v/>
      </c>
      <c r="K21" s="28">
        <f>IF(I21&lt;=0,"—",ROUND(E21/I21,2))</f>
        <v/>
      </c>
      <c r="L21" s="26">
        <f>L20+J21</f>
        <v/>
      </c>
      <c r="M21" s="29">
        <f>IF('1. Nhập liệu'!$B$7&lt;=0,"—",E21/'1. Nhập liệu'!$B$7)</f>
        <v/>
      </c>
      <c r="N21" s="29">
        <f>IF('1. Nhập liệu'!$B$11&lt;=0,"—",E21/'1. Nhập liệu'!$B$11)</f>
        <v/>
      </c>
    </row>
    <row r="22" ht="19" customHeight="1">
      <c r="A22" s="30" t="n">
        <v>8</v>
      </c>
      <c r="B22" s="31">
        <f>ROUND('1. Nhập liệu'!$B$22*MAX(0,12-'1. Nhập liệu'!$B$23)*(1+'1. Nhập liệu'!$B$28)^(A22-1),0)</f>
        <v/>
      </c>
      <c r="C22" s="31">
        <f>ROUND('1. Nhập liệu'!$B$24*12*(1+'1. Nhập liệu'!$B$29)^(A22-1),0)</f>
        <v/>
      </c>
      <c r="D22" s="31">
        <f>ROUND(B22*'1. Nhập liệu'!$B$25,0)</f>
        <v/>
      </c>
      <c r="E22" s="31">
        <f>B22-C22-D22</f>
        <v/>
      </c>
      <c r="F22" s="31">
        <f>MAX(0,'1. Nhập liệu'!$B$15-IF('1. Nhập liệu'!$B$19&lt;=0,0,'1. Nhập liệu'!$B$15/'1. Nhập liệu'!$B$19)*(A22-1))</f>
        <v/>
      </c>
      <c r="G22" s="31">
        <f>MIN(IF('1. Nhập liệu'!$B$19&lt;=0,0,'1. Nhập liệu'!$B$15/'1. Nhập liệu'!$B$19),F22)</f>
        <v/>
      </c>
      <c r="H22" s="31">
        <f>ROUND((F22+(F22-G22))/2*IF(A22=1,'1. Nhập liệu'!$B$17,'1. Nhập liệu'!$B$18),0)</f>
        <v/>
      </c>
      <c r="I22" s="31">
        <f>G22+H22</f>
        <v/>
      </c>
      <c r="J22" s="32">
        <f>E22-I22</f>
        <v/>
      </c>
      <c r="K22" s="33">
        <f>IF(I22&lt;=0,"—",ROUND(E22/I22,2))</f>
        <v/>
      </c>
      <c r="L22" s="31">
        <f>L21+J22</f>
        <v/>
      </c>
      <c r="M22" s="34">
        <f>IF('1. Nhập liệu'!$B$7&lt;=0,"—",E22/'1. Nhập liệu'!$B$7)</f>
        <v/>
      </c>
      <c r="N22" s="34">
        <f>IF('1. Nhập liệu'!$B$11&lt;=0,"—",E22/'1. Nhập liệu'!$B$11)</f>
        <v/>
      </c>
    </row>
    <row r="23" ht="19" customHeight="1">
      <c r="A23" s="25" t="n">
        <v>9</v>
      </c>
      <c r="B23" s="26">
        <f>ROUND('1. Nhập liệu'!$B$22*MAX(0,12-'1. Nhập liệu'!$B$23)*(1+'1. Nhập liệu'!$B$28)^(A23-1),0)</f>
        <v/>
      </c>
      <c r="C23" s="26">
        <f>ROUND('1. Nhập liệu'!$B$24*12*(1+'1. Nhập liệu'!$B$29)^(A23-1),0)</f>
        <v/>
      </c>
      <c r="D23" s="26">
        <f>ROUND(B23*'1. Nhập liệu'!$B$25,0)</f>
        <v/>
      </c>
      <c r="E23" s="26">
        <f>B23-C23-D23</f>
        <v/>
      </c>
      <c r="F23" s="26">
        <f>MAX(0,'1. Nhập liệu'!$B$15-IF('1. Nhập liệu'!$B$19&lt;=0,0,'1. Nhập liệu'!$B$15/'1. Nhập liệu'!$B$19)*(A23-1))</f>
        <v/>
      </c>
      <c r="G23" s="26">
        <f>MIN(IF('1. Nhập liệu'!$B$19&lt;=0,0,'1. Nhập liệu'!$B$15/'1. Nhập liệu'!$B$19),F23)</f>
        <v/>
      </c>
      <c r="H23" s="26">
        <f>ROUND((F23+(F23-G23))/2*IF(A23=1,'1. Nhập liệu'!$B$17,'1. Nhập liệu'!$B$18),0)</f>
        <v/>
      </c>
      <c r="I23" s="26">
        <f>G23+H23</f>
        <v/>
      </c>
      <c r="J23" s="27">
        <f>E23-I23</f>
        <v/>
      </c>
      <c r="K23" s="28">
        <f>IF(I23&lt;=0,"—",ROUND(E23/I23,2))</f>
        <v/>
      </c>
      <c r="L23" s="26">
        <f>L22+J23</f>
        <v/>
      </c>
      <c r="M23" s="29">
        <f>IF('1. Nhập liệu'!$B$7&lt;=0,"—",E23/'1. Nhập liệu'!$B$7)</f>
        <v/>
      </c>
      <c r="N23" s="29">
        <f>IF('1. Nhập liệu'!$B$11&lt;=0,"—",E23/'1. Nhập liệu'!$B$11)</f>
        <v/>
      </c>
    </row>
    <row r="24" ht="19" customHeight="1">
      <c r="A24" s="30" t="n">
        <v>10</v>
      </c>
      <c r="B24" s="31">
        <f>ROUND('1. Nhập liệu'!$B$22*MAX(0,12-'1. Nhập liệu'!$B$23)*(1+'1. Nhập liệu'!$B$28)^(A24-1),0)</f>
        <v/>
      </c>
      <c r="C24" s="31">
        <f>ROUND('1. Nhập liệu'!$B$24*12*(1+'1. Nhập liệu'!$B$29)^(A24-1),0)</f>
        <v/>
      </c>
      <c r="D24" s="31">
        <f>ROUND(B24*'1. Nhập liệu'!$B$25,0)</f>
        <v/>
      </c>
      <c r="E24" s="31">
        <f>B24-C24-D24</f>
        <v/>
      </c>
      <c r="F24" s="31">
        <f>MAX(0,'1. Nhập liệu'!$B$15-IF('1. Nhập liệu'!$B$19&lt;=0,0,'1. Nhập liệu'!$B$15/'1. Nhập liệu'!$B$19)*(A24-1))</f>
        <v/>
      </c>
      <c r="G24" s="31">
        <f>MIN(IF('1. Nhập liệu'!$B$19&lt;=0,0,'1. Nhập liệu'!$B$15/'1. Nhập liệu'!$B$19),F24)</f>
        <v/>
      </c>
      <c r="H24" s="31">
        <f>ROUND((F24+(F24-G24))/2*IF(A24=1,'1. Nhập liệu'!$B$17,'1. Nhập liệu'!$B$18),0)</f>
        <v/>
      </c>
      <c r="I24" s="31">
        <f>G24+H24</f>
        <v/>
      </c>
      <c r="J24" s="32">
        <f>E24-I24</f>
        <v/>
      </c>
      <c r="K24" s="33">
        <f>IF(I24&lt;=0,"—",ROUND(E24/I24,2))</f>
        <v/>
      </c>
      <c r="L24" s="31">
        <f>L23+J24</f>
        <v/>
      </c>
      <c r="M24" s="34">
        <f>IF('1. Nhập liệu'!$B$7&lt;=0,"—",E24/'1. Nhập liệu'!$B$7)</f>
        <v/>
      </c>
      <c r="N24" s="34">
        <f>IF('1. Nhập liệu'!$B$11&lt;=0,"—",E24/'1. Nhập liệu'!$B$11)</f>
        <v/>
      </c>
    </row>
    <row r="25" ht="22" customHeight="1">
      <c r="A25" s="35" t="inlineStr">
        <is>
          <t>TỔNG</t>
        </is>
      </c>
      <c r="B25" s="36">
        <f>SUM(B15:B24)</f>
        <v/>
      </c>
      <c r="C25" s="36">
        <f>SUM(C15:C24)</f>
        <v/>
      </c>
      <c r="D25" s="36">
        <f>SUM(D15:D24)</f>
        <v/>
      </c>
      <c r="E25" s="36">
        <f>SUM(E15:E24)</f>
        <v/>
      </c>
      <c r="F25" s="37" t="n"/>
      <c r="G25" s="36">
        <f>SUM(G15:G24)</f>
        <v/>
      </c>
      <c r="H25" s="36">
        <f>SUM(H15:H24)</f>
        <v/>
      </c>
      <c r="I25" s="36">
        <f>SUM(I15:I24)</f>
        <v/>
      </c>
      <c r="J25" s="36">
        <f>SUM(J15:J24)</f>
        <v/>
      </c>
      <c r="K25" s="37" t="n"/>
      <c r="L25" s="37" t="n"/>
      <c r="M25" s="37" t="n"/>
      <c r="N25" s="37" t="n"/>
    </row>
    <row r="27">
      <c r="A27" s="38" t="inlineStr">
        <is>
          <t>Cách tính trả nợ: gốc đều mỗi năm, lãi tính trên dư nợ bình quân trong năm — đúng cách các ngân hàng Việt Nam đang áp dụng cho vay mua bất động sản.  Năm 1 dùng lãi suất ưu đãi, từ năm 2 dùng lãi suất thả nổi.  ·  DAPANO GROUP · Think Kind!</t>
        </is>
      </c>
    </row>
    <row r="28"/>
  </sheetData>
  <sheetProtection selectLockedCells="0" selectUnlockedCells="0" sheet="1" objects="0" insertRows="1" insertHyperlinks="1" autoFilter="1" scenarios="0" formatColumns="1" deleteColumns="1" insertColumns="1" pivotTables="1" deleteRows="1" formatCells="1" formatRows="1" sort="1"/>
  <mergeCells count="14">
    <mergeCell ref="A5:D5"/>
    <mergeCell ref="A9:D9"/>
    <mergeCell ref="A8:D8"/>
    <mergeCell ref="A27:N28"/>
    <mergeCell ref="A6:D6"/>
    <mergeCell ref="A4:N4"/>
    <mergeCell ref="A12:D12"/>
    <mergeCell ref="A2:N2"/>
    <mergeCell ref="E10:I10"/>
    <mergeCell ref="A7:D7"/>
    <mergeCell ref="A11:D11"/>
    <mergeCell ref="A10:D10"/>
    <mergeCell ref="A13:D13"/>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4"/>
  <sheetViews>
    <sheetView showGridLines="0" workbookViewId="0">
      <selection activeCell="A1" sqref="A1"/>
    </sheetView>
  </sheetViews>
  <sheetFormatPr baseColWidth="8" defaultRowHeight="15"/>
  <cols>
    <col width="26" customWidth="1" min="1" max="1"/>
    <col width="15" customWidth="1" min="2" max="2"/>
    <col width="15" customWidth="1" min="3" max="3"/>
    <col width="14" customWidth="1" min="4" max="4"/>
    <col width="13" customWidth="1" min="5" max="5"/>
    <col width="14" customWidth="1" min="6" max="6"/>
    <col width="12" customWidth="1" min="7" max="7"/>
    <col width="12" customWidth="1" min="8" max="8"/>
    <col width="13" customWidth="1" min="9" max="9"/>
    <col width="15" customWidth="1" min="10" max="10"/>
    <col width="9" customWidth="1" min="11" max="11"/>
  </cols>
  <sheetData>
    <row r="1" ht="34" customHeight="1">
      <c r="A1" s="1" t="inlineStr">
        <is>
          <t>BA KỊCH BẢN</t>
        </is>
      </c>
      <c r="B1" s="2" t="n"/>
      <c r="C1" s="2" t="n"/>
      <c r="D1" s="2" t="n"/>
      <c r="E1" s="2" t="n"/>
      <c r="F1" s="2" t="n"/>
      <c r="G1" s="2" t="n"/>
      <c r="H1" s="2" t="n"/>
      <c r="I1" s="2" t="n"/>
      <c r="J1" s="2" t="n"/>
      <c r="K1" s="2" t="n"/>
    </row>
    <row r="2" ht="20" customHeight="1">
      <c r="A2" s="3" t="inlineStr">
        <is>
          <t>Cùng một toà nhà, ba cách đời có thể diễn ra. Ô vàng sửa được.</t>
        </is>
      </c>
      <c r="B2" s="4" t="n"/>
      <c r="C2" s="4" t="n"/>
      <c r="D2" s="4" t="n"/>
      <c r="E2" s="4" t="n"/>
      <c r="F2" s="4" t="n"/>
      <c r="G2" s="4" t="n"/>
      <c r="H2" s="4" t="n"/>
      <c r="I2" s="4" t="n"/>
      <c r="J2" s="4" t="n"/>
      <c r="K2" s="4" t="n"/>
    </row>
    <row r="4" ht="22" customHeight="1">
      <c r="A4" s="6" t="inlineStr">
        <is>
          <t>GIẢ ĐỊNH LỆCH NHAU Ở ĐÂU</t>
        </is>
      </c>
      <c r="B4" s="7" t="n"/>
      <c r="C4" s="7" t="n"/>
      <c r="D4" s="7" t="n"/>
      <c r="E4" s="7" t="n"/>
      <c r="F4" s="7" t="n"/>
      <c r="G4" s="7" t="n"/>
      <c r="H4" s="7" t="n"/>
      <c r="I4" s="7" t="n"/>
      <c r="J4" s="7" t="n"/>
      <c r="K4" s="7" t="n"/>
    </row>
    <row r="5">
      <c r="A5" s="39" t="inlineStr">
        <is>
          <t>Điều chỉnh so với sheet Nhập liệu</t>
        </is>
      </c>
      <c r="B5" s="40" t="inlineStr">
        <is>
          <t>THẬN TRỌNG</t>
        </is>
      </c>
      <c r="C5" s="41" t="inlineStr">
        <is>
          <t>CƠ SỞ</t>
        </is>
      </c>
      <c r="D5" s="42" t="inlineStr">
        <is>
          <t>KỲ VỌNG</t>
        </is>
      </c>
    </row>
    <row r="6">
      <c r="A6" s="18" t="inlineStr">
        <is>
          <t>Giá thuê lệch</t>
        </is>
      </c>
      <c r="B6" s="43" t="n">
        <v>-0.1</v>
      </c>
      <c r="C6" s="43" t="n">
        <v>0</v>
      </c>
      <c r="D6" s="43" t="n">
        <v>0.07000000000000001</v>
      </c>
    </row>
    <row r="7">
      <c r="A7" s="18" t="inlineStr">
        <is>
          <t>Số tháng trống mỗi năm</t>
        </is>
      </c>
      <c r="B7" s="44">
        <f>'1. Nhập liệu'!$B$23+1.5</f>
        <v/>
      </c>
      <c r="C7" s="44">
        <f>'1. Nhập liệu'!$B$23</f>
        <v/>
      </c>
      <c r="D7" s="44">
        <f>MAX(0,'1. Nhập liệu'!$B$23-0.5)</f>
        <v/>
      </c>
    </row>
    <row r="8">
      <c r="A8" s="18" t="inlineStr">
        <is>
          <t>Lãi suất cộng thêm</t>
        </is>
      </c>
      <c r="B8" s="43" t="n">
        <v>0.02</v>
      </c>
      <c r="C8" s="43" t="n">
        <v>0</v>
      </c>
      <c r="D8" s="43" t="n">
        <v>-0.005</v>
      </c>
    </row>
    <row r="9">
      <c r="A9" s="18" t="inlineStr">
        <is>
          <t>Tăng giá thuê mỗi năm</t>
        </is>
      </c>
      <c r="B9" s="43">
        <f>MAX(0,'1. Nhập liệu'!$B$28-0.01)</f>
        <v/>
      </c>
      <c r="C9" s="43">
        <f>'1. Nhập liệu'!$B$28</f>
        <v/>
      </c>
      <c r="D9" s="43">
        <f>'1. Nhập liệu'!$B$28+0.01</f>
        <v/>
      </c>
    </row>
    <row r="12" ht="22" customHeight="1">
      <c r="A12" s="45" t="inlineStr">
        <is>
          <t>KỊCH BẢN 1 · THẬN TRỌNG — thuê thấp, trống nhiều, lãi suất tăng</t>
        </is>
      </c>
      <c r="B12" s="4" t="n"/>
      <c r="C12" s="4" t="n"/>
      <c r="D12" s="4" t="n"/>
      <c r="E12" s="4" t="n"/>
      <c r="F12" s="4" t="n"/>
      <c r="G12" s="4" t="n"/>
      <c r="H12" s="4" t="n"/>
      <c r="I12" s="4" t="n"/>
      <c r="J12" s="4" t="n"/>
      <c r="K12" s="4" t="n"/>
    </row>
    <row r="13" ht="30" customHeight="1">
      <c r="A13" s="24" t="inlineStr">
        <is>
          <t>Năm</t>
        </is>
      </c>
      <c r="B13" s="24" t="inlineStr">
        <is>
          <t>Doanh thu thuê</t>
        </is>
      </c>
      <c r="C13" s="24" t="inlineStr">
        <is>
          <t>Chi phí vận hành</t>
        </is>
      </c>
      <c r="D13" s="24" t="inlineStr">
        <is>
          <t>Thuế cho thuê</t>
        </is>
      </c>
      <c r="E13" s="24" t="inlineStr">
        <is>
          <t>NOI</t>
        </is>
      </c>
      <c r="F13" s="24" t="inlineStr">
        <is>
          <t>Dư nợ đầu năm</t>
        </is>
      </c>
      <c r="G13" s="24" t="inlineStr">
        <is>
          <t>Trả gốc</t>
        </is>
      </c>
      <c r="H13" s="24" t="inlineStr">
        <is>
          <t>Trả lãi</t>
        </is>
      </c>
      <c r="I13" s="24" t="inlineStr">
        <is>
          <t>Tổng trả nợ</t>
        </is>
      </c>
      <c r="J13" s="24" t="inlineStr">
        <is>
          <t>Dòng tiền ròng</t>
        </is>
      </c>
      <c r="K13" s="24" t="inlineStr">
        <is>
          <t>DSCR</t>
        </is>
      </c>
    </row>
    <row r="14" ht="18" customHeight="1">
      <c r="A14" s="25" t="n">
        <v>1</v>
      </c>
      <c r="B14" s="26">
        <f>ROUND('1. Nhập liệu'!$B$22*(1+$B$6)*MAX(0,12-$B$7)*(1+$B$9)^(A14-1),0)</f>
        <v/>
      </c>
      <c r="C14" s="26">
        <f>ROUND('1. Nhập liệu'!$B$24*12*(1+'1. Nhập liệu'!$B$29)^(A14-1),0)</f>
        <v/>
      </c>
      <c r="D14" s="26">
        <f>ROUND(B14*'1. Nhập liệu'!$B$25,0)</f>
        <v/>
      </c>
      <c r="E14" s="26">
        <f>B14-C14-D14</f>
        <v/>
      </c>
      <c r="F14" s="26">
        <f>MAX(0,'1. Nhập liệu'!$B$15-IF('1. Nhập liệu'!$B$19&lt;=0,0,'1. Nhập liệu'!$B$15/'1. Nhập liệu'!$B$19)*(A14-1))</f>
        <v/>
      </c>
      <c r="G14" s="26">
        <f>MIN(IF('1. Nhập liệu'!$B$19&lt;=0,0,'1. Nhập liệu'!$B$15/'1. Nhập liệu'!$B$19),F14)</f>
        <v/>
      </c>
      <c r="H14" s="26">
        <f>ROUND((F14+(F14-G14))/2*(IF(A14=1,'1. Nhập liệu'!$B$17,'1. Nhập liệu'!$B$18)+$B$8),0)</f>
        <v/>
      </c>
      <c r="I14" s="26">
        <f>G14+H14</f>
        <v/>
      </c>
      <c r="J14" s="27">
        <f>E14-I14</f>
        <v/>
      </c>
      <c r="K14" s="28">
        <f>IF(I14&lt;=0,"—",ROUND(E14/I14,2))</f>
        <v/>
      </c>
    </row>
    <row r="15" ht="18" customHeight="1">
      <c r="A15" s="30" t="n">
        <v>2</v>
      </c>
      <c r="B15" s="31">
        <f>ROUND('1. Nhập liệu'!$B$22*(1+$B$6)*MAX(0,12-$B$7)*(1+$B$9)^(A15-1),0)</f>
        <v/>
      </c>
      <c r="C15" s="31">
        <f>ROUND('1. Nhập liệu'!$B$24*12*(1+'1. Nhập liệu'!$B$29)^(A15-1),0)</f>
        <v/>
      </c>
      <c r="D15" s="31">
        <f>ROUND(B15*'1. Nhập liệu'!$B$25,0)</f>
        <v/>
      </c>
      <c r="E15" s="31">
        <f>B15-C15-D15</f>
        <v/>
      </c>
      <c r="F15" s="31">
        <f>MAX(0,'1. Nhập liệu'!$B$15-IF('1. Nhập liệu'!$B$19&lt;=0,0,'1. Nhập liệu'!$B$15/'1. Nhập liệu'!$B$19)*(A15-1))</f>
        <v/>
      </c>
      <c r="G15" s="31">
        <f>MIN(IF('1. Nhập liệu'!$B$19&lt;=0,0,'1. Nhập liệu'!$B$15/'1. Nhập liệu'!$B$19),F15)</f>
        <v/>
      </c>
      <c r="H15" s="31">
        <f>ROUND((F15+(F15-G15))/2*(IF(A15=1,'1. Nhập liệu'!$B$17,'1. Nhập liệu'!$B$18)+$B$8),0)</f>
        <v/>
      </c>
      <c r="I15" s="31">
        <f>G15+H15</f>
        <v/>
      </c>
      <c r="J15" s="32">
        <f>E15-I15</f>
        <v/>
      </c>
      <c r="K15" s="33">
        <f>IF(I15&lt;=0,"—",ROUND(E15/I15,2))</f>
        <v/>
      </c>
    </row>
    <row r="16" ht="18" customHeight="1">
      <c r="A16" s="25" t="n">
        <v>3</v>
      </c>
      <c r="B16" s="26">
        <f>ROUND('1. Nhập liệu'!$B$22*(1+$B$6)*MAX(0,12-$B$7)*(1+$B$9)^(A16-1),0)</f>
        <v/>
      </c>
      <c r="C16" s="26">
        <f>ROUND('1. Nhập liệu'!$B$24*12*(1+'1. Nhập liệu'!$B$29)^(A16-1),0)</f>
        <v/>
      </c>
      <c r="D16" s="26">
        <f>ROUND(B16*'1. Nhập liệu'!$B$25,0)</f>
        <v/>
      </c>
      <c r="E16" s="26">
        <f>B16-C16-D16</f>
        <v/>
      </c>
      <c r="F16" s="26">
        <f>MAX(0,'1. Nhập liệu'!$B$15-IF('1. Nhập liệu'!$B$19&lt;=0,0,'1. Nhập liệu'!$B$15/'1. Nhập liệu'!$B$19)*(A16-1))</f>
        <v/>
      </c>
      <c r="G16" s="26">
        <f>MIN(IF('1. Nhập liệu'!$B$19&lt;=0,0,'1. Nhập liệu'!$B$15/'1. Nhập liệu'!$B$19),F16)</f>
        <v/>
      </c>
      <c r="H16" s="26">
        <f>ROUND((F16+(F16-G16))/2*(IF(A16=1,'1. Nhập liệu'!$B$17,'1. Nhập liệu'!$B$18)+$B$8),0)</f>
        <v/>
      </c>
      <c r="I16" s="26">
        <f>G16+H16</f>
        <v/>
      </c>
      <c r="J16" s="27">
        <f>E16-I16</f>
        <v/>
      </c>
      <c r="K16" s="28">
        <f>IF(I16&lt;=0,"—",ROUND(E16/I16,2))</f>
        <v/>
      </c>
    </row>
    <row r="17" ht="18" customHeight="1">
      <c r="A17" s="30" t="n">
        <v>4</v>
      </c>
      <c r="B17" s="31">
        <f>ROUND('1. Nhập liệu'!$B$22*(1+$B$6)*MAX(0,12-$B$7)*(1+$B$9)^(A17-1),0)</f>
        <v/>
      </c>
      <c r="C17" s="31">
        <f>ROUND('1. Nhập liệu'!$B$24*12*(1+'1. Nhập liệu'!$B$29)^(A17-1),0)</f>
        <v/>
      </c>
      <c r="D17" s="31">
        <f>ROUND(B17*'1. Nhập liệu'!$B$25,0)</f>
        <v/>
      </c>
      <c r="E17" s="31">
        <f>B17-C17-D17</f>
        <v/>
      </c>
      <c r="F17" s="31">
        <f>MAX(0,'1. Nhập liệu'!$B$15-IF('1. Nhập liệu'!$B$19&lt;=0,0,'1. Nhập liệu'!$B$15/'1. Nhập liệu'!$B$19)*(A17-1))</f>
        <v/>
      </c>
      <c r="G17" s="31">
        <f>MIN(IF('1. Nhập liệu'!$B$19&lt;=0,0,'1. Nhập liệu'!$B$15/'1. Nhập liệu'!$B$19),F17)</f>
        <v/>
      </c>
      <c r="H17" s="31">
        <f>ROUND((F17+(F17-G17))/2*(IF(A17=1,'1. Nhập liệu'!$B$17,'1. Nhập liệu'!$B$18)+$B$8),0)</f>
        <v/>
      </c>
      <c r="I17" s="31">
        <f>G17+H17</f>
        <v/>
      </c>
      <c r="J17" s="32">
        <f>E17-I17</f>
        <v/>
      </c>
      <c r="K17" s="33">
        <f>IF(I17&lt;=0,"—",ROUND(E17/I17,2))</f>
        <v/>
      </c>
    </row>
    <row r="18" ht="18" customHeight="1">
      <c r="A18" s="25" t="n">
        <v>5</v>
      </c>
      <c r="B18" s="26">
        <f>ROUND('1. Nhập liệu'!$B$22*(1+$B$6)*MAX(0,12-$B$7)*(1+$B$9)^(A18-1),0)</f>
        <v/>
      </c>
      <c r="C18" s="26">
        <f>ROUND('1. Nhập liệu'!$B$24*12*(1+'1. Nhập liệu'!$B$29)^(A18-1),0)</f>
        <v/>
      </c>
      <c r="D18" s="26">
        <f>ROUND(B18*'1. Nhập liệu'!$B$25,0)</f>
        <v/>
      </c>
      <c r="E18" s="26">
        <f>B18-C18-D18</f>
        <v/>
      </c>
      <c r="F18" s="26">
        <f>MAX(0,'1. Nhập liệu'!$B$15-IF('1. Nhập liệu'!$B$19&lt;=0,0,'1. Nhập liệu'!$B$15/'1. Nhập liệu'!$B$19)*(A18-1))</f>
        <v/>
      </c>
      <c r="G18" s="26">
        <f>MIN(IF('1. Nhập liệu'!$B$19&lt;=0,0,'1. Nhập liệu'!$B$15/'1. Nhập liệu'!$B$19),F18)</f>
        <v/>
      </c>
      <c r="H18" s="26">
        <f>ROUND((F18+(F18-G18))/2*(IF(A18=1,'1. Nhập liệu'!$B$17,'1. Nhập liệu'!$B$18)+$B$8),0)</f>
        <v/>
      </c>
      <c r="I18" s="26">
        <f>G18+H18</f>
        <v/>
      </c>
      <c r="J18" s="27">
        <f>E18-I18</f>
        <v/>
      </c>
      <c r="K18" s="28">
        <f>IF(I18&lt;=0,"—",ROUND(E18/I18,2))</f>
        <v/>
      </c>
    </row>
    <row r="19" ht="18" customHeight="1">
      <c r="A19" s="30" t="n">
        <v>6</v>
      </c>
      <c r="B19" s="31">
        <f>ROUND('1. Nhập liệu'!$B$22*(1+$B$6)*MAX(0,12-$B$7)*(1+$B$9)^(A19-1),0)</f>
        <v/>
      </c>
      <c r="C19" s="31">
        <f>ROUND('1. Nhập liệu'!$B$24*12*(1+'1. Nhập liệu'!$B$29)^(A19-1),0)</f>
        <v/>
      </c>
      <c r="D19" s="31">
        <f>ROUND(B19*'1. Nhập liệu'!$B$25,0)</f>
        <v/>
      </c>
      <c r="E19" s="31">
        <f>B19-C19-D19</f>
        <v/>
      </c>
      <c r="F19" s="31">
        <f>MAX(0,'1. Nhập liệu'!$B$15-IF('1. Nhập liệu'!$B$19&lt;=0,0,'1. Nhập liệu'!$B$15/'1. Nhập liệu'!$B$19)*(A19-1))</f>
        <v/>
      </c>
      <c r="G19" s="31">
        <f>MIN(IF('1. Nhập liệu'!$B$19&lt;=0,0,'1. Nhập liệu'!$B$15/'1. Nhập liệu'!$B$19),F19)</f>
        <v/>
      </c>
      <c r="H19" s="31">
        <f>ROUND((F19+(F19-G19))/2*(IF(A19=1,'1. Nhập liệu'!$B$17,'1. Nhập liệu'!$B$18)+$B$8),0)</f>
        <v/>
      </c>
      <c r="I19" s="31">
        <f>G19+H19</f>
        <v/>
      </c>
      <c r="J19" s="32">
        <f>E19-I19</f>
        <v/>
      </c>
      <c r="K19" s="33">
        <f>IF(I19&lt;=0,"—",ROUND(E19/I19,2))</f>
        <v/>
      </c>
    </row>
    <row r="20" ht="18" customHeight="1">
      <c r="A20" s="25" t="n">
        <v>7</v>
      </c>
      <c r="B20" s="26">
        <f>ROUND('1. Nhập liệu'!$B$22*(1+$B$6)*MAX(0,12-$B$7)*(1+$B$9)^(A20-1),0)</f>
        <v/>
      </c>
      <c r="C20" s="26">
        <f>ROUND('1. Nhập liệu'!$B$24*12*(1+'1. Nhập liệu'!$B$29)^(A20-1),0)</f>
        <v/>
      </c>
      <c r="D20" s="26">
        <f>ROUND(B20*'1. Nhập liệu'!$B$25,0)</f>
        <v/>
      </c>
      <c r="E20" s="26">
        <f>B20-C20-D20</f>
        <v/>
      </c>
      <c r="F20" s="26">
        <f>MAX(0,'1. Nhập liệu'!$B$15-IF('1. Nhập liệu'!$B$19&lt;=0,0,'1. Nhập liệu'!$B$15/'1. Nhập liệu'!$B$19)*(A20-1))</f>
        <v/>
      </c>
      <c r="G20" s="26">
        <f>MIN(IF('1. Nhập liệu'!$B$19&lt;=0,0,'1. Nhập liệu'!$B$15/'1. Nhập liệu'!$B$19),F20)</f>
        <v/>
      </c>
      <c r="H20" s="26">
        <f>ROUND((F20+(F20-G20))/2*(IF(A20=1,'1. Nhập liệu'!$B$17,'1. Nhập liệu'!$B$18)+$B$8),0)</f>
        <v/>
      </c>
      <c r="I20" s="26">
        <f>G20+H20</f>
        <v/>
      </c>
      <c r="J20" s="27">
        <f>E20-I20</f>
        <v/>
      </c>
      <c r="K20" s="28">
        <f>IF(I20&lt;=0,"—",ROUND(E20/I20,2))</f>
        <v/>
      </c>
    </row>
    <row r="21" ht="18" customHeight="1">
      <c r="A21" s="30" t="n">
        <v>8</v>
      </c>
      <c r="B21" s="31">
        <f>ROUND('1. Nhập liệu'!$B$22*(1+$B$6)*MAX(0,12-$B$7)*(1+$B$9)^(A21-1),0)</f>
        <v/>
      </c>
      <c r="C21" s="31">
        <f>ROUND('1. Nhập liệu'!$B$24*12*(1+'1. Nhập liệu'!$B$29)^(A21-1),0)</f>
        <v/>
      </c>
      <c r="D21" s="31">
        <f>ROUND(B21*'1. Nhập liệu'!$B$25,0)</f>
        <v/>
      </c>
      <c r="E21" s="31">
        <f>B21-C21-D21</f>
        <v/>
      </c>
      <c r="F21" s="31">
        <f>MAX(0,'1. Nhập liệu'!$B$15-IF('1. Nhập liệu'!$B$19&lt;=0,0,'1. Nhập liệu'!$B$15/'1. Nhập liệu'!$B$19)*(A21-1))</f>
        <v/>
      </c>
      <c r="G21" s="31">
        <f>MIN(IF('1. Nhập liệu'!$B$19&lt;=0,0,'1. Nhập liệu'!$B$15/'1. Nhập liệu'!$B$19),F21)</f>
        <v/>
      </c>
      <c r="H21" s="31">
        <f>ROUND((F21+(F21-G21))/2*(IF(A21=1,'1. Nhập liệu'!$B$17,'1. Nhập liệu'!$B$18)+$B$8),0)</f>
        <v/>
      </c>
      <c r="I21" s="31">
        <f>G21+H21</f>
        <v/>
      </c>
      <c r="J21" s="32">
        <f>E21-I21</f>
        <v/>
      </c>
      <c r="K21" s="33">
        <f>IF(I21&lt;=0,"—",ROUND(E21/I21,2))</f>
        <v/>
      </c>
    </row>
    <row r="22" ht="18" customHeight="1">
      <c r="A22" s="25" t="n">
        <v>9</v>
      </c>
      <c r="B22" s="26">
        <f>ROUND('1. Nhập liệu'!$B$22*(1+$B$6)*MAX(0,12-$B$7)*(1+$B$9)^(A22-1),0)</f>
        <v/>
      </c>
      <c r="C22" s="26">
        <f>ROUND('1. Nhập liệu'!$B$24*12*(1+'1. Nhập liệu'!$B$29)^(A22-1),0)</f>
        <v/>
      </c>
      <c r="D22" s="26">
        <f>ROUND(B22*'1. Nhập liệu'!$B$25,0)</f>
        <v/>
      </c>
      <c r="E22" s="26">
        <f>B22-C22-D22</f>
        <v/>
      </c>
      <c r="F22" s="26">
        <f>MAX(0,'1. Nhập liệu'!$B$15-IF('1. Nhập liệu'!$B$19&lt;=0,0,'1. Nhập liệu'!$B$15/'1. Nhập liệu'!$B$19)*(A22-1))</f>
        <v/>
      </c>
      <c r="G22" s="26">
        <f>MIN(IF('1. Nhập liệu'!$B$19&lt;=0,0,'1. Nhập liệu'!$B$15/'1. Nhập liệu'!$B$19),F22)</f>
        <v/>
      </c>
      <c r="H22" s="26">
        <f>ROUND((F22+(F22-G22))/2*(IF(A22=1,'1. Nhập liệu'!$B$17,'1. Nhập liệu'!$B$18)+$B$8),0)</f>
        <v/>
      </c>
      <c r="I22" s="26">
        <f>G22+H22</f>
        <v/>
      </c>
      <c r="J22" s="27">
        <f>E22-I22</f>
        <v/>
      </c>
      <c r="K22" s="28">
        <f>IF(I22&lt;=0,"—",ROUND(E22/I22,2))</f>
        <v/>
      </c>
    </row>
    <row r="23" ht="18" customHeight="1">
      <c r="A23" s="30" t="n">
        <v>10</v>
      </c>
      <c r="B23" s="31">
        <f>ROUND('1. Nhập liệu'!$B$22*(1+$B$6)*MAX(0,12-$B$7)*(1+$B$9)^(A23-1),0)</f>
        <v/>
      </c>
      <c r="C23" s="31">
        <f>ROUND('1. Nhập liệu'!$B$24*12*(1+'1. Nhập liệu'!$B$29)^(A23-1),0)</f>
        <v/>
      </c>
      <c r="D23" s="31">
        <f>ROUND(B23*'1. Nhập liệu'!$B$25,0)</f>
        <v/>
      </c>
      <c r="E23" s="31">
        <f>B23-C23-D23</f>
        <v/>
      </c>
      <c r="F23" s="31">
        <f>MAX(0,'1. Nhập liệu'!$B$15-IF('1. Nhập liệu'!$B$19&lt;=0,0,'1. Nhập liệu'!$B$15/'1. Nhập liệu'!$B$19)*(A23-1))</f>
        <v/>
      </c>
      <c r="G23" s="31">
        <f>MIN(IF('1. Nhập liệu'!$B$19&lt;=0,0,'1. Nhập liệu'!$B$15/'1. Nhập liệu'!$B$19),F23)</f>
        <v/>
      </c>
      <c r="H23" s="31">
        <f>ROUND((F23+(F23-G23))/2*(IF(A23=1,'1. Nhập liệu'!$B$17,'1. Nhập liệu'!$B$18)+$B$8),0)</f>
        <v/>
      </c>
      <c r="I23" s="31">
        <f>G23+H23</f>
        <v/>
      </c>
      <c r="J23" s="32">
        <f>E23-I23</f>
        <v/>
      </c>
      <c r="K23" s="33">
        <f>IF(I23&lt;=0,"—",ROUND(E23/I23,2))</f>
        <v/>
      </c>
    </row>
    <row r="24">
      <c r="A24" s="35" t="inlineStr">
        <is>
          <t>TỔNG</t>
        </is>
      </c>
      <c r="B24" s="36">
        <f>SUM(B14:B23)</f>
        <v/>
      </c>
      <c r="C24" s="36">
        <f>SUM(C14:C23)</f>
        <v/>
      </c>
      <c r="D24" s="36">
        <f>SUM(D14:D23)</f>
        <v/>
      </c>
      <c r="E24" s="36">
        <f>SUM(E14:E23)</f>
        <v/>
      </c>
      <c r="F24" s="37" t="n"/>
      <c r="G24" s="36">
        <f>SUM(G14:G23)</f>
        <v/>
      </c>
      <c r="H24" s="36">
        <f>SUM(H14:H23)</f>
        <v/>
      </c>
      <c r="I24" s="36">
        <f>SUM(I14:I23)</f>
        <v/>
      </c>
      <c r="J24" s="36">
        <f>SUM(J14:J23)</f>
        <v/>
      </c>
      <c r="K24" s="37" t="n"/>
    </row>
    <row r="26" ht="22" customHeight="1">
      <c r="A26" s="46" t="inlineStr">
        <is>
          <t>KỊCH BẢN 2 · CƠ SỞ — đúng như số đã nhập</t>
        </is>
      </c>
      <c r="B26" s="2" t="n"/>
      <c r="C26" s="2" t="n"/>
      <c r="D26" s="2" t="n"/>
      <c r="E26" s="2" t="n"/>
      <c r="F26" s="2" t="n"/>
      <c r="G26" s="2" t="n"/>
      <c r="H26" s="2" t="n"/>
      <c r="I26" s="2" t="n"/>
      <c r="J26" s="2" t="n"/>
      <c r="K26" s="2" t="n"/>
    </row>
    <row r="27" ht="30" customHeight="1">
      <c r="A27" s="24" t="inlineStr">
        <is>
          <t>Năm</t>
        </is>
      </c>
      <c r="B27" s="24" t="inlineStr">
        <is>
          <t>Doanh thu thuê</t>
        </is>
      </c>
      <c r="C27" s="24" t="inlineStr">
        <is>
          <t>Chi phí vận hành</t>
        </is>
      </c>
      <c r="D27" s="24" t="inlineStr">
        <is>
          <t>Thuế cho thuê</t>
        </is>
      </c>
      <c r="E27" s="24" t="inlineStr">
        <is>
          <t>NOI</t>
        </is>
      </c>
      <c r="F27" s="24" t="inlineStr">
        <is>
          <t>Dư nợ đầu năm</t>
        </is>
      </c>
      <c r="G27" s="24" t="inlineStr">
        <is>
          <t>Trả gốc</t>
        </is>
      </c>
      <c r="H27" s="24" t="inlineStr">
        <is>
          <t>Trả lãi</t>
        </is>
      </c>
      <c r="I27" s="24" t="inlineStr">
        <is>
          <t>Tổng trả nợ</t>
        </is>
      </c>
      <c r="J27" s="24" t="inlineStr">
        <is>
          <t>Dòng tiền ròng</t>
        </is>
      </c>
      <c r="K27" s="24" t="inlineStr">
        <is>
          <t>DSCR</t>
        </is>
      </c>
    </row>
    <row r="28" ht="18" customHeight="1">
      <c r="A28" s="25" t="n">
        <v>1</v>
      </c>
      <c r="B28" s="26">
        <f>ROUND('1. Nhập liệu'!$B$22*(1+$C$6)*MAX(0,12-$C$7)*(1+$C$9)^(A28-1),0)</f>
        <v/>
      </c>
      <c r="C28" s="26">
        <f>ROUND('1. Nhập liệu'!$B$24*12*(1+'1. Nhập liệu'!$B$29)^(A28-1),0)</f>
        <v/>
      </c>
      <c r="D28" s="26">
        <f>ROUND(B28*'1. Nhập liệu'!$B$25,0)</f>
        <v/>
      </c>
      <c r="E28" s="26">
        <f>B28-C28-D28</f>
        <v/>
      </c>
      <c r="F28" s="26">
        <f>MAX(0,'1. Nhập liệu'!$B$15-IF('1. Nhập liệu'!$B$19&lt;=0,0,'1. Nhập liệu'!$B$15/'1. Nhập liệu'!$B$19)*(A28-1))</f>
        <v/>
      </c>
      <c r="G28" s="26">
        <f>MIN(IF('1. Nhập liệu'!$B$19&lt;=0,0,'1. Nhập liệu'!$B$15/'1. Nhập liệu'!$B$19),F28)</f>
        <v/>
      </c>
      <c r="H28" s="26">
        <f>ROUND((F28+(F28-G28))/2*(IF(A28=1,'1. Nhập liệu'!$B$17,'1. Nhập liệu'!$B$18)+$C$8),0)</f>
        <v/>
      </c>
      <c r="I28" s="26">
        <f>G28+H28</f>
        <v/>
      </c>
      <c r="J28" s="27">
        <f>E28-I28</f>
        <v/>
      </c>
      <c r="K28" s="28">
        <f>IF(I28&lt;=0,"—",ROUND(E28/I28,2))</f>
        <v/>
      </c>
    </row>
    <row r="29" ht="18" customHeight="1">
      <c r="A29" s="30" t="n">
        <v>2</v>
      </c>
      <c r="B29" s="31">
        <f>ROUND('1. Nhập liệu'!$B$22*(1+$C$6)*MAX(0,12-$C$7)*(1+$C$9)^(A29-1),0)</f>
        <v/>
      </c>
      <c r="C29" s="31">
        <f>ROUND('1. Nhập liệu'!$B$24*12*(1+'1. Nhập liệu'!$B$29)^(A29-1),0)</f>
        <v/>
      </c>
      <c r="D29" s="31">
        <f>ROUND(B29*'1. Nhập liệu'!$B$25,0)</f>
        <v/>
      </c>
      <c r="E29" s="31">
        <f>B29-C29-D29</f>
        <v/>
      </c>
      <c r="F29" s="31">
        <f>MAX(0,'1. Nhập liệu'!$B$15-IF('1. Nhập liệu'!$B$19&lt;=0,0,'1. Nhập liệu'!$B$15/'1. Nhập liệu'!$B$19)*(A29-1))</f>
        <v/>
      </c>
      <c r="G29" s="31">
        <f>MIN(IF('1. Nhập liệu'!$B$19&lt;=0,0,'1. Nhập liệu'!$B$15/'1. Nhập liệu'!$B$19),F29)</f>
        <v/>
      </c>
      <c r="H29" s="31">
        <f>ROUND((F29+(F29-G29))/2*(IF(A29=1,'1. Nhập liệu'!$B$17,'1. Nhập liệu'!$B$18)+$C$8),0)</f>
        <v/>
      </c>
      <c r="I29" s="31">
        <f>G29+H29</f>
        <v/>
      </c>
      <c r="J29" s="32">
        <f>E29-I29</f>
        <v/>
      </c>
      <c r="K29" s="33">
        <f>IF(I29&lt;=0,"—",ROUND(E29/I29,2))</f>
        <v/>
      </c>
    </row>
    <row r="30" ht="18" customHeight="1">
      <c r="A30" s="25" t="n">
        <v>3</v>
      </c>
      <c r="B30" s="26">
        <f>ROUND('1. Nhập liệu'!$B$22*(1+$C$6)*MAX(0,12-$C$7)*(1+$C$9)^(A30-1),0)</f>
        <v/>
      </c>
      <c r="C30" s="26">
        <f>ROUND('1. Nhập liệu'!$B$24*12*(1+'1. Nhập liệu'!$B$29)^(A30-1),0)</f>
        <v/>
      </c>
      <c r="D30" s="26">
        <f>ROUND(B30*'1. Nhập liệu'!$B$25,0)</f>
        <v/>
      </c>
      <c r="E30" s="26">
        <f>B30-C30-D30</f>
        <v/>
      </c>
      <c r="F30" s="26">
        <f>MAX(0,'1. Nhập liệu'!$B$15-IF('1. Nhập liệu'!$B$19&lt;=0,0,'1. Nhập liệu'!$B$15/'1. Nhập liệu'!$B$19)*(A30-1))</f>
        <v/>
      </c>
      <c r="G30" s="26">
        <f>MIN(IF('1. Nhập liệu'!$B$19&lt;=0,0,'1. Nhập liệu'!$B$15/'1. Nhập liệu'!$B$19),F30)</f>
        <v/>
      </c>
      <c r="H30" s="26">
        <f>ROUND((F30+(F30-G30))/2*(IF(A30=1,'1. Nhập liệu'!$B$17,'1. Nhập liệu'!$B$18)+$C$8),0)</f>
        <v/>
      </c>
      <c r="I30" s="26">
        <f>G30+H30</f>
        <v/>
      </c>
      <c r="J30" s="27">
        <f>E30-I30</f>
        <v/>
      </c>
      <c r="K30" s="28">
        <f>IF(I30&lt;=0,"—",ROUND(E30/I30,2))</f>
        <v/>
      </c>
    </row>
    <row r="31" ht="18" customHeight="1">
      <c r="A31" s="30" t="n">
        <v>4</v>
      </c>
      <c r="B31" s="31">
        <f>ROUND('1. Nhập liệu'!$B$22*(1+$C$6)*MAX(0,12-$C$7)*(1+$C$9)^(A31-1),0)</f>
        <v/>
      </c>
      <c r="C31" s="31">
        <f>ROUND('1. Nhập liệu'!$B$24*12*(1+'1. Nhập liệu'!$B$29)^(A31-1),0)</f>
        <v/>
      </c>
      <c r="D31" s="31">
        <f>ROUND(B31*'1. Nhập liệu'!$B$25,0)</f>
        <v/>
      </c>
      <c r="E31" s="31">
        <f>B31-C31-D31</f>
        <v/>
      </c>
      <c r="F31" s="31">
        <f>MAX(0,'1. Nhập liệu'!$B$15-IF('1. Nhập liệu'!$B$19&lt;=0,0,'1. Nhập liệu'!$B$15/'1. Nhập liệu'!$B$19)*(A31-1))</f>
        <v/>
      </c>
      <c r="G31" s="31">
        <f>MIN(IF('1. Nhập liệu'!$B$19&lt;=0,0,'1. Nhập liệu'!$B$15/'1. Nhập liệu'!$B$19),F31)</f>
        <v/>
      </c>
      <c r="H31" s="31">
        <f>ROUND((F31+(F31-G31))/2*(IF(A31=1,'1. Nhập liệu'!$B$17,'1. Nhập liệu'!$B$18)+$C$8),0)</f>
        <v/>
      </c>
      <c r="I31" s="31">
        <f>G31+H31</f>
        <v/>
      </c>
      <c r="J31" s="32">
        <f>E31-I31</f>
        <v/>
      </c>
      <c r="K31" s="33">
        <f>IF(I31&lt;=0,"—",ROUND(E31/I31,2))</f>
        <v/>
      </c>
    </row>
    <row r="32" ht="18" customHeight="1">
      <c r="A32" s="25" t="n">
        <v>5</v>
      </c>
      <c r="B32" s="26">
        <f>ROUND('1. Nhập liệu'!$B$22*(1+$C$6)*MAX(0,12-$C$7)*(1+$C$9)^(A32-1),0)</f>
        <v/>
      </c>
      <c r="C32" s="26">
        <f>ROUND('1. Nhập liệu'!$B$24*12*(1+'1. Nhập liệu'!$B$29)^(A32-1),0)</f>
        <v/>
      </c>
      <c r="D32" s="26">
        <f>ROUND(B32*'1. Nhập liệu'!$B$25,0)</f>
        <v/>
      </c>
      <c r="E32" s="26">
        <f>B32-C32-D32</f>
        <v/>
      </c>
      <c r="F32" s="26">
        <f>MAX(0,'1. Nhập liệu'!$B$15-IF('1. Nhập liệu'!$B$19&lt;=0,0,'1. Nhập liệu'!$B$15/'1. Nhập liệu'!$B$19)*(A32-1))</f>
        <v/>
      </c>
      <c r="G32" s="26">
        <f>MIN(IF('1. Nhập liệu'!$B$19&lt;=0,0,'1. Nhập liệu'!$B$15/'1. Nhập liệu'!$B$19),F32)</f>
        <v/>
      </c>
      <c r="H32" s="26">
        <f>ROUND((F32+(F32-G32))/2*(IF(A32=1,'1. Nhập liệu'!$B$17,'1. Nhập liệu'!$B$18)+$C$8),0)</f>
        <v/>
      </c>
      <c r="I32" s="26">
        <f>G32+H32</f>
        <v/>
      </c>
      <c r="J32" s="27">
        <f>E32-I32</f>
        <v/>
      </c>
      <c r="K32" s="28">
        <f>IF(I32&lt;=0,"—",ROUND(E32/I32,2))</f>
        <v/>
      </c>
    </row>
    <row r="33" ht="18" customHeight="1">
      <c r="A33" s="30" t="n">
        <v>6</v>
      </c>
      <c r="B33" s="31">
        <f>ROUND('1. Nhập liệu'!$B$22*(1+$C$6)*MAX(0,12-$C$7)*(1+$C$9)^(A33-1),0)</f>
        <v/>
      </c>
      <c r="C33" s="31">
        <f>ROUND('1. Nhập liệu'!$B$24*12*(1+'1. Nhập liệu'!$B$29)^(A33-1),0)</f>
        <v/>
      </c>
      <c r="D33" s="31">
        <f>ROUND(B33*'1. Nhập liệu'!$B$25,0)</f>
        <v/>
      </c>
      <c r="E33" s="31">
        <f>B33-C33-D33</f>
        <v/>
      </c>
      <c r="F33" s="31">
        <f>MAX(0,'1. Nhập liệu'!$B$15-IF('1. Nhập liệu'!$B$19&lt;=0,0,'1. Nhập liệu'!$B$15/'1. Nhập liệu'!$B$19)*(A33-1))</f>
        <v/>
      </c>
      <c r="G33" s="31">
        <f>MIN(IF('1. Nhập liệu'!$B$19&lt;=0,0,'1. Nhập liệu'!$B$15/'1. Nhập liệu'!$B$19),F33)</f>
        <v/>
      </c>
      <c r="H33" s="31">
        <f>ROUND((F33+(F33-G33))/2*(IF(A33=1,'1. Nhập liệu'!$B$17,'1. Nhập liệu'!$B$18)+$C$8),0)</f>
        <v/>
      </c>
      <c r="I33" s="31">
        <f>G33+H33</f>
        <v/>
      </c>
      <c r="J33" s="32">
        <f>E33-I33</f>
        <v/>
      </c>
      <c r="K33" s="33">
        <f>IF(I33&lt;=0,"—",ROUND(E33/I33,2))</f>
        <v/>
      </c>
    </row>
    <row r="34" ht="18" customHeight="1">
      <c r="A34" s="25" t="n">
        <v>7</v>
      </c>
      <c r="B34" s="26">
        <f>ROUND('1. Nhập liệu'!$B$22*(1+$C$6)*MAX(0,12-$C$7)*(1+$C$9)^(A34-1),0)</f>
        <v/>
      </c>
      <c r="C34" s="26">
        <f>ROUND('1. Nhập liệu'!$B$24*12*(1+'1. Nhập liệu'!$B$29)^(A34-1),0)</f>
        <v/>
      </c>
      <c r="D34" s="26">
        <f>ROUND(B34*'1. Nhập liệu'!$B$25,0)</f>
        <v/>
      </c>
      <c r="E34" s="26">
        <f>B34-C34-D34</f>
        <v/>
      </c>
      <c r="F34" s="26">
        <f>MAX(0,'1. Nhập liệu'!$B$15-IF('1. Nhập liệu'!$B$19&lt;=0,0,'1. Nhập liệu'!$B$15/'1. Nhập liệu'!$B$19)*(A34-1))</f>
        <v/>
      </c>
      <c r="G34" s="26">
        <f>MIN(IF('1. Nhập liệu'!$B$19&lt;=0,0,'1. Nhập liệu'!$B$15/'1. Nhập liệu'!$B$19),F34)</f>
        <v/>
      </c>
      <c r="H34" s="26">
        <f>ROUND((F34+(F34-G34))/2*(IF(A34=1,'1. Nhập liệu'!$B$17,'1. Nhập liệu'!$B$18)+$C$8),0)</f>
        <v/>
      </c>
      <c r="I34" s="26">
        <f>G34+H34</f>
        <v/>
      </c>
      <c r="J34" s="27">
        <f>E34-I34</f>
        <v/>
      </c>
      <c r="K34" s="28">
        <f>IF(I34&lt;=0,"—",ROUND(E34/I34,2))</f>
        <v/>
      </c>
    </row>
    <row r="35" ht="18" customHeight="1">
      <c r="A35" s="30" t="n">
        <v>8</v>
      </c>
      <c r="B35" s="31">
        <f>ROUND('1. Nhập liệu'!$B$22*(1+$C$6)*MAX(0,12-$C$7)*(1+$C$9)^(A35-1),0)</f>
        <v/>
      </c>
      <c r="C35" s="31">
        <f>ROUND('1. Nhập liệu'!$B$24*12*(1+'1. Nhập liệu'!$B$29)^(A35-1),0)</f>
        <v/>
      </c>
      <c r="D35" s="31">
        <f>ROUND(B35*'1. Nhập liệu'!$B$25,0)</f>
        <v/>
      </c>
      <c r="E35" s="31">
        <f>B35-C35-D35</f>
        <v/>
      </c>
      <c r="F35" s="31">
        <f>MAX(0,'1. Nhập liệu'!$B$15-IF('1. Nhập liệu'!$B$19&lt;=0,0,'1. Nhập liệu'!$B$15/'1. Nhập liệu'!$B$19)*(A35-1))</f>
        <v/>
      </c>
      <c r="G35" s="31">
        <f>MIN(IF('1. Nhập liệu'!$B$19&lt;=0,0,'1. Nhập liệu'!$B$15/'1. Nhập liệu'!$B$19),F35)</f>
        <v/>
      </c>
      <c r="H35" s="31">
        <f>ROUND((F35+(F35-G35))/2*(IF(A35=1,'1. Nhập liệu'!$B$17,'1. Nhập liệu'!$B$18)+$C$8),0)</f>
        <v/>
      </c>
      <c r="I35" s="31">
        <f>G35+H35</f>
        <v/>
      </c>
      <c r="J35" s="32">
        <f>E35-I35</f>
        <v/>
      </c>
      <c r="K35" s="33">
        <f>IF(I35&lt;=0,"—",ROUND(E35/I35,2))</f>
        <v/>
      </c>
    </row>
    <row r="36" ht="18" customHeight="1">
      <c r="A36" s="25" t="n">
        <v>9</v>
      </c>
      <c r="B36" s="26">
        <f>ROUND('1. Nhập liệu'!$B$22*(1+$C$6)*MAX(0,12-$C$7)*(1+$C$9)^(A36-1),0)</f>
        <v/>
      </c>
      <c r="C36" s="26">
        <f>ROUND('1. Nhập liệu'!$B$24*12*(1+'1. Nhập liệu'!$B$29)^(A36-1),0)</f>
        <v/>
      </c>
      <c r="D36" s="26">
        <f>ROUND(B36*'1. Nhập liệu'!$B$25,0)</f>
        <v/>
      </c>
      <c r="E36" s="26">
        <f>B36-C36-D36</f>
        <v/>
      </c>
      <c r="F36" s="26">
        <f>MAX(0,'1. Nhập liệu'!$B$15-IF('1. Nhập liệu'!$B$19&lt;=0,0,'1. Nhập liệu'!$B$15/'1. Nhập liệu'!$B$19)*(A36-1))</f>
        <v/>
      </c>
      <c r="G36" s="26">
        <f>MIN(IF('1. Nhập liệu'!$B$19&lt;=0,0,'1. Nhập liệu'!$B$15/'1. Nhập liệu'!$B$19),F36)</f>
        <v/>
      </c>
      <c r="H36" s="26">
        <f>ROUND((F36+(F36-G36))/2*(IF(A36=1,'1. Nhập liệu'!$B$17,'1. Nhập liệu'!$B$18)+$C$8),0)</f>
        <v/>
      </c>
      <c r="I36" s="26">
        <f>G36+H36</f>
        <v/>
      </c>
      <c r="J36" s="27">
        <f>E36-I36</f>
        <v/>
      </c>
      <c r="K36" s="28">
        <f>IF(I36&lt;=0,"—",ROUND(E36/I36,2))</f>
        <v/>
      </c>
    </row>
    <row r="37" ht="18" customHeight="1">
      <c r="A37" s="30" t="n">
        <v>10</v>
      </c>
      <c r="B37" s="31">
        <f>ROUND('1. Nhập liệu'!$B$22*(1+$C$6)*MAX(0,12-$C$7)*(1+$C$9)^(A37-1),0)</f>
        <v/>
      </c>
      <c r="C37" s="31">
        <f>ROUND('1. Nhập liệu'!$B$24*12*(1+'1. Nhập liệu'!$B$29)^(A37-1),0)</f>
        <v/>
      </c>
      <c r="D37" s="31">
        <f>ROUND(B37*'1. Nhập liệu'!$B$25,0)</f>
        <v/>
      </c>
      <c r="E37" s="31">
        <f>B37-C37-D37</f>
        <v/>
      </c>
      <c r="F37" s="31">
        <f>MAX(0,'1. Nhập liệu'!$B$15-IF('1. Nhập liệu'!$B$19&lt;=0,0,'1. Nhập liệu'!$B$15/'1. Nhập liệu'!$B$19)*(A37-1))</f>
        <v/>
      </c>
      <c r="G37" s="31">
        <f>MIN(IF('1. Nhập liệu'!$B$19&lt;=0,0,'1. Nhập liệu'!$B$15/'1. Nhập liệu'!$B$19),F37)</f>
        <v/>
      </c>
      <c r="H37" s="31">
        <f>ROUND((F37+(F37-G37))/2*(IF(A37=1,'1. Nhập liệu'!$B$17,'1. Nhập liệu'!$B$18)+$C$8),0)</f>
        <v/>
      </c>
      <c r="I37" s="31">
        <f>G37+H37</f>
        <v/>
      </c>
      <c r="J37" s="32">
        <f>E37-I37</f>
        <v/>
      </c>
      <c r="K37" s="33">
        <f>IF(I37&lt;=0,"—",ROUND(E37/I37,2))</f>
        <v/>
      </c>
    </row>
    <row r="38">
      <c r="A38" s="35" t="inlineStr">
        <is>
          <t>TỔNG</t>
        </is>
      </c>
      <c r="B38" s="36">
        <f>SUM(B28:B37)</f>
        <v/>
      </c>
      <c r="C38" s="36">
        <f>SUM(C28:C37)</f>
        <v/>
      </c>
      <c r="D38" s="36">
        <f>SUM(D28:D37)</f>
        <v/>
      </c>
      <c r="E38" s="36">
        <f>SUM(E28:E37)</f>
        <v/>
      </c>
      <c r="F38" s="37" t="n"/>
      <c r="G38" s="36">
        <f>SUM(G28:G37)</f>
        <v/>
      </c>
      <c r="H38" s="36">
        <f>SUM(H28:H37)</f>
        <v/>
      </c>
      <c r="I38" s="36">
        <f>SUM(I28:I37)</f>
        <v/>
      </c>
      <c r="J38" s="36">
        <f>SUM(J28:J37)</f>
        <v/>
      </c>
      <c r="K38" s="37" t="n"/>
    </row>
    <row r="40" ht="22" customHeight="1">
      <c r="A40" s="6" t="inlineStr">
        <is>
          <t>KỊCH BẢN 3 · KỲ VỌNG — thuê tốt, ít trống, lãi suất dễ thở</t>
        </is>
      </c>
      <c r="B40" s="7" t="n"/>
      <c r="C40" s="7" t="n"/>
      <c r="D40" s="7" t="n"/>
      <c r="E40" s="7" t="n"/>
      <c r="F40" s="7" t="n"/>
      <c r="G40" s="7" t="n"/>
      <c r="H40" s="7" t="n"/>
      <c r="I40" s="7" t="n"/>
      <c r="J40" s="7" t="n"/>
      <c r="K40" s="7" t="n"/>
    </row>
    <row r="41" ht="30" customHeight="1">
      <c r="A41" s="24" t="inlineStr">
        <is>
          <t>Năm</t>
        </is>
      </c>
      <c r="B41" s="24" t="inlineStr">
        <is>
          <t>Doanh thu thuê</t>
        </is>
      </c>
      <c r="C41" s="24" t="inlineStr">
        <is>
          <t>Chi phí vận hành</t>
        </is>
      </c>
      <c r="D41" s="24" t="inlineStr">
        <is>
          <t>Thuế cho thuê</t>
        </is>
      </c>
      <c r="E41" s="24" t="inlineStr">
        <is>
          <t>NOI</t>
        </is>
      </c>
      <c r="F41" s="24" t="inlineStr">
        <is>
          <t>Dư nợ đầu năm</t>
        </is>
      </c>
      <c r="G41" s="24" t="inlineStr">
        <is>
          <t>Trả gốc</t>
        </is>
      </c>
      <c r="H41" s="24" t="inlineStr">
        <is>
          <t>Trả lãi</t>
        </is>
      </c>
      <c r="I41" s="24" t="inlineStr">
        <is>
          <t>Tổng trả nợ</t>
        </is>
      </c>
      <c r="J41" s="24" t="inlineStr">
        <is>
          <t>Dòng tiền ròng</t>
        </is>
      </c>
      <c r="K41" s="24" t="inlineStr">
        <is>
          <t>DSCR</t>
        </is>
      </c>
    </row>
    <row r="42" ht="18" customHeight="1">
      <c r="A42" s="25" t="n">
        <v>1</v>
      </c>
      <c r="B42" s="26">
        <f>ROUND('1. Nhập liệu'!$B$22*(1+$D$6)*MAX(0,12-$D$7)*(1+$D$9)^(A42-1),0)</f>
        <v/>
      </c>
      <c r="C42" s="26">
        <f>ROUND('1. Nhập liệu'!$B$24*12*(1+'1. Nhập liệu'!$B$29)^(A42-1),0)</f>
        <v/>
      </c>
      <c r="D42" s="26">
        <f>ROUND(B42*'1. Nhập liệu'!$B$25,0)</f>
        <v/>
      </c>
      <c r="E42" s="26">
        <f>B42-C42-D42</f>
        <v/>
      </c>
      <c r="F42" s="26">
        <f>MAX(0,'1. Nhập liệu'!$B$15-IF('1. Nhập liệu'!$B$19&lt;=0,0,'1. Nhập liệu'!$B$15/'1. Nhập liệu'!$B$19)*(A42-1))</f>
        <v/>
      </c>
      <c r="G42" s="26">
        <f>MIN(IF('1. Nhập liệu'!$B$19&lt;=0,0,'1. Nhập liệu'!$B$15/'1. Nhập liệu'!$B$19),F42)</f>
        <v/>
      </c>
      <c r="H42" s="26">
        <f>ROUND((F42+(F42-G42))/2*(IF(A42=1,'1. Nhập liệu'!$B$17,'1. Nhập liệu'!$B$18)+$D$8),0)</f>
        <v/>
      </c>
      <c r="I42" s="26">
        <f>G42+H42</f>
        <v/>
      </c>
      <c r="J42" s="27">
        <f>E42-I42</f>
        <v/>
      </c>
      <c r="K42" s="28">
        <f>IF(I42&lt;=0,"—",ROUND(E42/I42,2))</f>
        <v/>
      </c>
    </row>
    <row r="43" ht="18" customHeight="1">
      <c r="A43" s="30" t="n">
        <v>2</v>
      </c>
      <c r="B43" s="31">
        <f>ROUND('1. Nhập liệu'!$B$22*(1+$D$6)*MAX(0,12-$D$7)*(1+$D$9)^(A43-1),0)</f>
        <v/>
      </c>
      <c r="C43" s="31">
        <f>ROUND('1. Nhập liệu'!$B$24*12*(1+'1. Nhập liệu'!$B$29)^(A43-1),0)</f>
        <v/>
      </c>
      <c r="D43" s="31">
        <f>ROUND(B43*'1. Nhập liệu'!$B$25,0)</f>
        <v/>
      </c>
      <c r="E43" s="31">
        <f>B43-C43-D43</f>
        <v/>
      </c>
      <c r="F43" s="31">
        <f>MAX(0,'1. Nhập liệu'!$B$15-IF('1. Nhập liệu'!$B$19&lt;=0,0,'1. Nhập liệu'!$B$15/'1. Nhập liệu'!$B$19)*(A43-1))</f>
        <v/>
      </c>
      <c r="G43" s="31">
        <f>MIN(IF('1. Nhập liệu'!$B$19&lt;=0,0,'1. Nhập liệu'!$B$15/'1. Nhập liệu'!$B$19),F43)</f>
        <v/>
      </c>
      <c r="H43" s="31">
        <f>ROUND((F43+(F43-G43))/2*(IF(A43=1,'1. Nhập liệu'!$B$17,'1. Nhập liệu'!$B$18)+$D$8),0)</f>
        <v/>
      </c>
      <c r="I43" s="31">
        <f>G43+H43</f>
        <v/>
      </c>
      <c r="J43" s="32">
        <f>E43-I43</f>
        <v/>
      </c>
      <c r="K43" s="33">
        <f>IF(I43&lt;=0,"—",ROUND(E43/I43,2))</f>
        <v/>
      </c>
    </row>
    <row r="44" ht="18" customHeight="1">
      <c r="A44" s="25" t="n">
        <v>3</v>
      </c>
      <c r="B44" s="26">
        <f>ROUND('1. Nhập liệu'!$B$22*(1+$D$6)*MAX(0,12-$D$7)*(1+$D$9)^(A44-1),0)</f>
        <v/>
      </c>
      <c r="C44" s="26">
        <f>ROUND('1. Nhập liệu'!$B$24*12*(1+'1. Nhập liệu'!$B$29)^(A44-1),0)</f>
        <v/>
      </c>
      <c r="D44" s="26">
        <f>ROUND(B44*'1. Nhập liệu'!$B$25,0)</f>
        <v/>
      </c>
      <c r="E44" s="26">
        <f>B44-C44-D44</f>
        <v/>
      </c>
      <c r="F44" s="26">
        <f>MAX(0,'1. Nhập liệu'!$B$15-IF('1. Nhập liệu'!$B$19&lt;=0,0,'1. Nhập liệu'!$B$15/'1. Nhập liệu'!$B$19)*(A44-1))</f>
        <v/>
      </c>
      <c r="G44" s="26">
        <f>MIN(IF('1. Nhập liệu'!$B$19&lt;=0,0,'1. Nhập liệu'!$B$15/'1. Nhập liệu'!$B$19),F44)</f>
        <v/>
      </c>
      <c r="H44" s="26">
        <f>ROUND((F44+(F44-G44))/2*(IF(A44=1,'1. Nhập liệu'!$B$17,'1. Nhập liệu'!$B$18)+$D$8),0)</f>
        <v/>
      </c>
      <c r="I44" s="26">
        <f>G44+H44</f>
        <v/>
      </c>
      <c r="J44" s="27">
        <f>E44-I44</f>
        <v/>
      </c>
      <c r="K44" s="28">
        <f>IF(I44&lt;=0,"—",ROUND(E44/I44,2))</f>
        <v/>
      </c>
    </row>
    <row r="45" ht="18" customHeight="1">
      <c r="A45" s="30" t="n">
        <v>4</v>
      </c>
      <c r="B45" s="31">
        <f>ROUND('1. Nhập liệu'!$B$22*(1+$D$6)*MAX(0,12-$D$7)*(1+$D$9)^(A45-1),0)</f>
        <v/>
      </c>
      <c r="C45" s="31">
        <f>ROUND('1. Nhập liệu'!$B$24*12*(1+'1. Nhập liệu'!$B$29)^(A45-1),0)</f>
        <v/>
      </c>
      <c r="D45" s="31">
        <f>ROUND(B45*'1. Nhập liệu'!$B$25,0)</f>
        <v/>
      </c>
      <c r="E45" s="31">
        <f>B45-C45-D45</f>
        <v/>
      </c>
      <c r="F45" s="31">
        <f>MAX(0,'1. Nhập liệu'!$B$15-IF('1. Nhập liệu'!$B$19&lt;=0,0,'1. Nhập liệu'!$B$15/'1. Nhập liệu'!$B$19)*(A45-1))</f>
        <v/>
      </c>
      <c r="G45" s="31">
        <f>MIN(IF('1. Nhập liệu'!$B$19&lt;=0,0,'1. Nhập liệu'!$B$15/'1. Nhập liệu'!$B$19),F45)</f>
        <v/>
      </c>
      <c r="H45" s="31">
        <f>ROUND((F45+(F45-G45))/2*(IF(A45=1,'1. Nhập liệu'!$B$17,'1. Nhập liệu'!$B$18)+$D$8),0)</f>
        <v/>
      </c>
      <c r="I45" s="31">
        <f>G45+H45</f>
        <v/>
      </c>
      <c r="J45" s="32">
        <f>E45-I45</f>
        <v/>
      </c>
      <c r="K45" s="33">
        <f>IF(I45&lt;=0,"—",ROUND(E45/I45,2))</f>
        <v/>
      </c>
    </row>
    <row r="46" ht="18" customHeight="1">
      <c r="A46" s="25" t="n">
        <v>5</v>
      </c>
      <c r="B46" s="26">
        <f>ROUND('1. Nhập liệu'!$B$22*(1+$D$6)*MAX(0,12-$D$7)*(1+$D$9)^(A46-1),0)</f>
        <v/>
      </c>
      <c r="C46" s="26">
        <f>ROUND('1. Nhập liệu'!$B$24*12*(1+'1. Nhập liệu'!$B$29)^(A46-1),0)</f>
        <v/>
      </c>
      <c r="D46" s="26">
        <f>ROUND(B46*'1. Nhập liệu'!$B$25,0)</f>
        <v/>
      </c>
      <c r="E46" s="26">
        <f>B46-C46-D46</f>
        <v/>
      </c>
      <c r="F46" s="26">
        <f>MAX(0,'1. Nhập liệu'!$B$15-IF('1. Nhập liệu'!$B$19&lt;=0,0,'1. Nhập liệu'!$B$15/'1. Nhập liệu'!$B$19)*(A46-1))</f>
        <v/>
      </c>
      <c r="G46" s="26">
        <f>MIN(IF('1. Nhập liệu'!$B$19&lt;=0,0,'1. Nhập liệu'!$B$15/'1. Nhập liệu'!$B$19),F46)</f>
        <v/>
      </c>
      <c r="H46" s="26">
        <f>ROUND((F46+(F46-G46))/2*(IF(A46=1,'1. Nhập liệu'!$B$17,'1. Nhập liệu'!$B$18)+$D$8),0)</f>
        <v/>
      </c>
      <c r="I46" s="26">
        <f>G46+H46</f>
        <v/>
      </c>
      <c r="J46" s="27">
        <f>E46-I46</f>
        <v/>
      </c>
      <c r="K46" s="28">
        <f>IF(I46&lt;=0,"—",ROUND(E46/I46,2))</f>
        <v/>
      </c>
    </row>
    <row r="47" ht="18" customHeight="1">
      <c r="A47" s="30" t="n">
        <v>6</v>
      </c>
      <c r="B47" s="31">
        <f>ROUND('1. Nhập liệu'!$B$22*(1+$D$6)*MAX(0,12-$D$7)*(1+$D$9)^(A47-1),0)</f>
        <v/>
      </c>
      <c r="C47" s="31">
        <f>ROUND('1. Nhập liệu'!$B$24*12*(1+'1. Nhập liệu'!$B$29)^(A47-1),0)</f>
        <v/>
      </c>
      <c r="D47" s="31">
        <f>ROUND(B47*'1. Nhập liệu'!$B$25,0)</f>
        <v/>
      </c>
      <c r="E47" s="31">
        <f>B47-C47-D47</f>
        <v/>
      </c>
      <c r="F47" s="31">
        <f>MAX(0,'1. Nhập liệu'!$B$15-IF('1. Nhập liệu'!$B$19&lt;=0,0,'1. Nhập liệu'!$B$15/'1. Nhập liệu'!$B$19)*(A47-1))</f>
        <v/>
      </c>
      <c r="G47" s="31">
        <f>MIN(IF('1. Nhập liệu'!$B$19&lt;=0,0,'1. Nhập liệu'!$B$15/'1. Nhập liệu'!$B$19),F47)</f>
        <v/>
      </c>
      <c r="H47" s="31">
        <f>ROUND((F47+(F47-G47))/2*(IF(A47=1,'1. Nhập liệu'!$B$17,'1. Nhập liệu'!$B$18)+$D$8),0)</f>
        <v/>
      </c>
      <c r="I47" s="31">
        <f>G47+H47</f>
        <v/>
      </c>
      <c r="J47" s="32">
        <f>E47-I47</f>
        <v/>
      </c>
      <c r="K47" s="33">
        <f>IF(I47&lt;=0,"—",ROUND(E47/I47,2))</f>
        <v/>
      </c>
    </row>
    <row r="48" ht="18" customHeight="1">
      <c r="A48" s="25" t="n">
        <v>7</v>
      </c>
      <c r="B48" s="26">
        <f>ROUND('1. Nhập liệu'!$B$22*(1+$D$6)*MAX(0,12-$D$7)*(1+$D$9)^(A48-1),0)</f>
        <v/>
      </c>
      <c r="C48" s="26">
        <f>ROUND('1. Nhập liệu'!$B$24*12*(1+'1. Nhập liệu'!$B$29)^(A48-1),0)</f>
        <v/>
      </c>
      <c r="D48" s="26">
        <f>ROUND(B48*'1. Nhập liệu'!$B$25,0)</f>
        <v/>
      </c>
      <c r="E48" s="26">
        <f>B48-C48-D48</f>
        <v/>
      </c>
      <c r="F48" s="26">
        <f>MAX(0,'1. Nhập liệu'!$B$15-IF('1. Nhập liệu'!$B$19&lt;=0,0,'1. Nhập liệu'!$B$15/'1. Nhập liệu'!$B$19)*(A48-1))</f>
        <v/>
      </c>
      <c r="G48" s="26">
        <f>MIN(IF('1. Nhập liệu'!$B$19&lt;=0,0,'1. Nhập liệu'!$B$15/'1. Nhập liệu'!$B$19),F48)</f>
        <v/>
      </c>
      <c r="H48" s="26">
        <f>ROUND((F48+(F48-G48))/2*(IF(A48=1,'1. Nhập liệu'!$B$17,'1. Nhập liệu'!$B$18)+$D$8),0)</f>
        <v/>
      </c>
      <c r="I48" s="26">
        <f>G48+H48</f>
        <v/>
      </c>
      <c r="J48" s="27">
        <f>E48-I48</f>
        <v/>
      </c>
      <c r="K48" s="28">
        <f>IF(I48&lt;=0,"—",ROUND(E48/I48,2))</f>
        <v/>
      </c>
    </row>
    <row r="49" ht="18" customHeight="1">
      <c r="A49" s="30" t="n">
        <v>8</v>
      </c>
      <c r="B49" s="31">
        <f>ROUND('1. Nhập liệu'!$B$22*(1+$D$6)*MAX(0,12-$D$7)*(1+$D$9)^(A49-1),0)</f>
        <v/>
      </c>
      <c r="C49" s="31">
        <f>ROUND('1. Nhập liệu'!$B$24*12*(1+'1. Nhập liệu'!$B$29)^(A49-1),0)</f>
        <v/>
      </c>
      <c r="D49" s="31">
        <f>ROUND(B49*'1. Nhập liệu'!$B$25,0)</f>
        <v/>
      </c>
      <c r="E49" s="31">
        <f>B49-C49-D49</f>
        <v/>
      </c>
      <c r="F49" s="31">
        <f>MAX(0,'1. Nhập liệu'!$B$15-IF('1. Nhập liệu'!$B$19&lt;=0,0,'1. Nhập liệu'!$B$15/'1. Nhập liệu'!$B$19)*(A49-1))</f>
        <v/>
      </c>
      <c r="G49" s="31">
        <f>MIN(IF('1. Nhập liệu'!$B$19&lt;=0,0,'1. Nhập liệu'!$B$15/'1. Nhập liệu'!$B$19),F49)</f>
        <v/>
      </c>
      <c r="H49" s="31">
        <f>ROUND((F49+(F49-G49))/2*(IF(A49=1,'1. Nhập liệu'!$B$17,'1. Nhập liệu'!$B$18)+$D$8),0)</f>
        <v/>
      </c>
      <c r="I49" s="31">
        <f>G49+H49</f>
        <v/>
      </c>
      <c r="J49" s="32">
        <f>E49-I49</f>
        <v/>
      </c>
      <c r="K49" s="33">
        <f>IF(I49&lt;=0,"—",ROUND(E49/I49,2))</f>
        <v/>
      </c>
    </row>
    <row r="50" ht="18" customHeight="1">
      <c r="A50" s="25" t="n">
        <v>9</v>
      </c>
      <c r="B50" s="26">
        <f>ROUND('1. Nhập liệu'!$B$22*(1+$D$6)*MAX(0,12-$D$7)*(1+$D$9)^(A50-1),0)</f>
        <v/>
      </c>
      <c r="C50" s="26">
        <f>ROUND('1. Nhập liệu'!$B$24*12*(1+'1. Nhập liệu'!$B$29)^(A50-1),0)</f>
        <v/>
      </c>
      <c r="D50" s="26">
        <f>ROUND(B50*'1. Nhập liệu'!$B$25,0)</f>
        <v/>
      </c>
      <c r="E50" s="26">
        <f>B50-C50-D50</f>
        <v/>
      </c>
      <c r="F50" s="26">
        <f>MAX(0,'1. Nhập liệu'!$B$15-IF('1. Nhập liệu'!$B$19&lt;=0,0,'1. Nhập liệu'!$B$15/'1. Nhập liệu'!$B$19)*(A50-1))</f>
        <v/>
      </c>
      <c r="G50" s="26">
        <f>MIN(IF('1. Nhập liệu'!$B$19&lt;=0,0,'1. Nhập liệu'!$B$15/'1. Nhập liệu'!$B$19),F50)</f>
        <v/>
      </c>
      <c r="H50" s="26">
        <f>ROUND((F50+(F50-G50))/2*(IF(A50=1,'1. Nhập liệu'!$B$17,'1. Nhập liệu'!$B$18)+$D$8),0)</f>
        <v/>
      </c>
      <c r="I50" s="26">
        <f>G50+H50</f>
        <v/>
      </c>
      <c r="J50" s="27">
        <f>E50-I50</f>
        <v/>
      </c>
      <c r="K50" s="28">
        <f>IF(I50&lt;=0,"—",ROUND(E50/I50,2))</f>
        <v/>
      </c>
    </row>
    <row r="51" ht="18" customHeight="1">
      <c r="A51" s="30" t="n">
        <v>10</v>
      </c>
      <c r="B51" s="31">
        <f>ROUND('1. Nhập liệu'!$B$22*(1+$D$6)*MAX(0,12-$D$7)*(1+$D$9)^(A51-1),0)</f>
        <v/>
      </c>
      <c r="C51" s="31">
        <f>ROUND('1. Nhập liệu'!$B$24*12*(1+'1. Nhập liệu'!$B$29)^(A51-1),0)</f>
        <v/>
      </c>
      <c r="D51" s="31">
        <f>ROUND(B51*'1. Nhập liệu'!$B$25,0)</f>
        <v/>
      </c>
      <c r="E51" s="31">
        <f>B51-C51-D51</f>
        <v/>
      </c>
      <c r="F51" s="31">
        <f>MAX(0,'1. Nhập liệu'!$B$15-IF('1. Nhập liệu'!$B$19&lt;=0,0,'1. Nhập liệu'!$B$15/'1. Nhập liệu'!$B$19)*(A51-1))</f>
        <v/>
      </c>
      <c r="G51" s="31">
        <f>MIN(IF('1. Nhập liệu'!$B$19&lt;=0,0,'1. Nhập liệu'!$B$15/'1. Nhập liệu'!$B$19),F51)</f>
        <v/>
      </c>
      <c r="H51" s="31">
        <f>ROUND((F51+(F51-G51))/2*(IF(A51=1,'1. Nhập liệu'!$B$17,'1. Nhập liệu'!$B$18)+$D$8),0)</f>
        <v/>
      </c>
      <c r="I51" s="31">
        <f>G51+H51</f>
        <v/>
      </c>
      <c r="J51" s="32">
        <f>E51-I51</f>
        <v/>
      </c>
      <c r="K51" s="33">
        <f>IF(I51&lt;=0,"—",ROUND(E51/I51,2))</f>
        <v/>
      </c>
    </row>
    <row r="52">
      <c r="A52" s="35" t="inlineStr">
        <is>
          <t>TỔNG</t>
        </is>
      </c>
      <c r="B52" s="36">
        <f>SUM(B42:B51)</f>
        <v/>
      </c>
      <c r="C52" s="36">
        <f>SUM(C42:C51)</f>
        <v/>
      </c>
      <c r="D52" s="36">
        <f>SUM(D42:D51)</f>
        <v/>
      </c>
      <c r="E52" s="36">
        <f>SUM(E42:E51)</f>
        <v/>
      </c>
      <c r="F52" s="37" t="n"/>
      <c r="G52" s="36">
        <f>SUM(G42:G51)</f>
        <v/>
      </c>
      <c r="H52" s="36">
        <f>SUM(H42:H51)</f>
        <v/>
      </c>
      <c r="I52" s="36">
        <f>SUM(I42:I51)</f>
        <v/>
      </c>
      <c r="J52" s="36">
        <f>SUM(J42:J51)</f>
        <v/>
      </c>
      <c r="K52" s="37" t="n"/>
    </row>
    <row r="55" ht="22" customHeight="1">
      <c r="A55" s="6" t="inlineStr">
        <is>
          <t>SO SÁNH BA KỊCH BẢN</t>
        </is>
      </c>
      <c r="B55" s="7" t="n"/>
      <c r="C55" s="7" t="n"/>
      <c r="D55" s="7" t="n"/>
      <c r="E55" s="7" t="n"/>
      <c r="F55" s="7" t="n"/>
      <c r="G55" s="7" t="n"/>
      <c r="H55" s="7" t="n"/>
      <c r="I55" s="7" t="n"/>
      <c r="J55" s="7" t="n"/>
      <c r="K55" s="7" t="n"/>
    </row>
    <row r="56">
      <c r="A56" s="39" t="inlineStr">
        <is>
          <t>Chỉ số</t>
        </is>
      </c>
      <c r="B56" s="40" t="inlineStr">
        <is>
          <t>THẬN TRỌNG</t>
        </is>
      </c>
      <c r="C56" s="41" t="inlineStr">
        <is>
          <t>CƠ SỞ</t>
        </is>
      </c>
      <c r="D56" s="42" t="inlineStr">
        <is>
          <t>KỲ VỌNG</t>
        </is>
      </c>
    </row>
    <row r="57" ht="19" customHeight="1">
      <c r="A57" s="18" t="inlineStr">
        <is>
          <t>Dòng tiền ròng năm 1 (triệu)</t>
        </is>
      </c>
      <c r="B57" s="47">
        <f>J14</f>
        <v/>
      </c>
      <c r="C57" s="47">
        <f>J28</f>
        <v/>
      </c>
      <c r="D57" s="47">
        <f>J42</f>
        <v/>
      </c>
    </row>
    <row r="58" ht="19" customHeight="1">
      <c r="A58" s="18" t="inlineStr">
        <is>
          <t>Dòng tiền bình quân tháng năm 1</t>
        </is>
      </c>
      <c r="B58" s="47">
        <f>J14/12</f>
        <v/>
      </c>
      <c r="C58" s="47">
        <f>J28/12</f>
        <v/>
      </c>
      <c r="D58" s="47">
        <f>J42/12</f>
        <v/>
      </c>
    </row>
    <row r="59" ht="19" customHeight="1">
      <c r="A59" s="18" t="inlineStr">
        <is>
          <t>DSCR năm 1</t>
        </is>
      </c>
      <c r="B59" s="48">
        <f>IF(I14&lt;=0,"—",E14/I14)</f>
        <v/>
      </c>
      <c r="C59" s="48">
        <f>IF(I28&lt;=0,"—",E28/I28)</f>
        <v/>
      </c>
      <c r="D59" s="48">
        <f>IF(I42&lt;=0,"—",E42/I42)</f>
        <v/>
      </c>
    </row>
    <row r="60" ht="19" customHeight="1">
      <c r="A60" s="18" t="inlineStr">
        <is>
          <t>Tổng dòng tiền 10 năm (triệu)</t>
        </is>
      </c>
      <c r="B60" s="47">
        <f>J24</f>
        <v/>
      </c>
      <c r="C60" s="47">
        <f>J38</f>
        <v/>
      </c>
      <c r="D60" s="47">
        <f>J52</f>
        <v/>
      </c>
    </row>
    <row r="61" ht="19" customHeight="1">
      <c r="A61" s="18" t="inlineStr">
        <is>
          <t>Năm dòng tiền chuyển dương</t>
        </is>
      </c>
      <c r="B61" s="49">
        <f>IFERROR(MATCH(TRUE,INDEX($J$14:$J$23&gt;0,0),0),"—")</f>
        <v/>
      </c>
      <c r="C61" s="49">
        <f>IFERROR(MATCH(TRUE,INDEX($J$28:$J$37&gt;0,0),0),"—")</f>
        <v/>
      </c>
      <c r="D61" s="49">
        <f>IFERROR(MATCH(TRUE,INDEX($J$42:$J$51&gt;0,0),0),"—")</f>
        <v/>
      </c>
    </row>
    <row r="63">
      <c r="A63" s="50" t="inlineStr">
        <is>
          <t>Nếu kịch bản THẬN TRỌNG vẫn cho dòng tiền dương và DSCR trên 1,2 thì toà nhà này chịu được sóng gió. Nếu chỉ kịch bản KỲ VỌNG mới đẹp, nghĩa là anh/chị đang mua một hy vọng chứ không mua một dòng tiền.  ·  DAPANO GROUP</t>
        </is>
      </c>
    </row>
    <row r="64"/>
  </sheetData>
  <sheetProtection selectLockedCells="0" selectUnlockedCells="0" sheet="1" objects="0" insertRows="1" insertHyperlinks="1" autoFilter="1" scenarios="0" formatColumns="1" deleteColumns="1" insertColumns="1" pivotTables="1" deleteRows="1" formatCells="1" formatRows="1" sort="1"/>
  <mergeCells count="8">
    <mergeCell ref="A12:K12"/>
    <mergeCell ref="A4:K4"/>
    <mergeCell ref="A26:K26"/>
    <mergeCell ref="A55:K55"/>
    <mergeCell ref="A2:K2"/>
    <mergeCell ref="A63:K64"/>
    <mergeCell ref="A1:K1"/>
    <mergeCell ref="A40:K4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9"/>
  <sheetViews>
    <sheetView showGridLines="0" workbookViewId="0">
      <selection activeCell="A1" sqref="A1"/>
    </sheetView>
  </sheetViews>
  <sheetFormatPr baseColWidth="8" defaultRowHeight="15"/>
  <cols>
    <col width="22" customWidth="1" min="1" max="1"/>
    <col width="62" customWidth="1" min="2" max="2"/>
    <col width="34" customWidth="1" min="3" max="3"/>
  </cols>
  <sheetData>
    <row r="1" ht="34" customHeight="1">
      <c r="A1" s="1" t="inlineStr">
        <is>
          <t>ĐỌC KẾT QUẢ BẰNG TIẾNG NGƯỜI</t>
        </is>
      </c>
      <c r="B1" s="2" t="n"/>
      <c r="C1" s="2" t="n"/>
    </row>
    <row r="2" ht="20" customHeight="1">
      <c r="A2" s="3" t="inlineStr">
        <is>
          <t>Năm chỉ số quyết định nên mua hay không</t>
        </is>
      </c>
      <c r="B2" s="4" t="n"/>
      <c r="C2" s="4" t="n"/>
    </row>
    <row r="4">
      <c r="A4" s="51" t="inlineStr">
        <is>
          <t>Chỉ số</t>
        </is>
      </c>
      <c r="B4" s="51" t="inlineStr">
        <is>
          <t>Nghĩa là gì</t>
        </is>
      </c>
      <c r="C4" s="51" t="inlineStr">
        <is>
          <t>Ngưỡng cảnh báo</t>
        </is>
      </c>
    </row>
    <row r="5" ht="78" customHeight="1">
      <c r="A5" s="52" t="inlineStr">
        <is>
          <t>NOI</t>
        </is>
      </c>
      <c r="B5" s="53" t="inlineStr">
        <is>
          <t>Lãi ròng từ việc cho thuê trong một năm, sau khi trừ chi phí vận hành và thuế, nhưng CHƯA trừ tiền trả ngân hàng. Đây là sức khoẻ thật của toà nhà, không phụ thuộc anh/chị vay nhiều hay ít.</t>
        </is>
      </c>
      <c r="C5" s="54" t="inlineStr">
        <is>
          <t>NOI âm nghĩa là toà nhà tự nó đã lỗ. Không có cách vay nào cứu được.</t>
        </is>
      </c>
    </row>
    <row r="6" ht="78" customHeight="1">
      <c r="A6" s="55" t="inlineStr">
        <is>
          <t>Cap Rate</t>
        </is>
      </c>
      <c r="B6" s="56" t="inlineStr">
        <is>
          <t>NOI chia cho số tiền bỏ ra. Trả lời câu: mỗi đồng vốn mang về bao nhiêu một năm. Dùng để so hai toà nhà khác giá với nhau.</t>
        </is>
      </c>
      <c r="C6" s="57" t="inlineStr">
        <is>
          <t>So Cap Rate với lãi gửi tiết kiệm. Thấp hơn tiết kiệm mà vẫn mua thì phải có lý do khác.</t>
        </is>
      </c>
    </row>
    <row r="7" ht="78" customHeight="1">
      <c r="A7" s="52" t="inlineStr">
        <is>
          <t>DSCR</t>
        </is>
      </c>
      <c r="B7" s="53" t="inlineStr">
        <is>
          <t>NOI chia cho tổng tiền trả ngân hàng trong năm. Trả lời câu: tiền thuê có gánh nổi nợ không.</t>
        </is>
      </c>
      <c r="C7" s="54" t="inlineStr">
        <is>
          <t>Dưới 1,2 là ĐÈN ĐỎ — chỉ cần trống hai tháng là phải bù tiền túi.
1,2–1,5 là đèn vàng.
Trên 1,5 là thở được.</t>
        </is>
      </c>
    </row>
    <row r="8" ht="78" customHeight="1">
      <c r="A8" s="55" t="inlineStr">
        <is>
          <t>Dòng tiền ròng</t>
        </is>
      </c>
      <c r="B8" s="56" t="inlineStr">
        <is>
          <t>Số tiền thật sự còn lại trong túi sau khi đã trả ngân hàng. Đây là con số anh/chị tiêu được.</t>
        </is>
      </c>
      <c r="C8" s="57" t="inlineStr">
        <is>
          <t>Âm trong 12–18 tháng đầu là bình thường nếu có cải tạo. Âm quá 18 tháng là phải xem lại.</t>
        </is>
      </c>
    </row>
    <row r="9" ht="78" customHeight="1">
      <c r="A9" s="52" t="inlineStr">
        <is>
          <t>Điểm hoà vốn</t>
        </is>
      </c>
      <c r="B9" s="53" t="inlineStr">
        <is>
          <t>Năm mà dòng tiền luỹ kế bù đủ phần vốn tự có đã bỏ ra.</t>
        </is>
      </c>
      <c r="C9" s="54" t="inlineStr">
        <is>
          <t>Toà nhà dòng tiền tốt thường thu hồi vốn tự có trong 7–10 năm, chưa tính phần tăng giá tài sản.</t>
        </is>
      </c>
    </row>
    <row r="11" ht="24" customHeight="1">
      <c r="A11" s="58" t="inlineStr">
        <is>
          <t>BA CÂU HỎI TỰ ĐẶT TRƯỚC KHI ĐẶT CỌC</t>
        </is>
      </c>
    </row>
    <row r="12" ht="22" customHeight="1">
      <c r="A12" s="59" t="inlineStr">
        <is>
          <t>1.  Nếu toà nhà để trống ba tháng liền, em có bù được không?</t>
        </is>
      </c>
    </row>
    <row r="13" ht="22" customHeight="1">
      <c r="A13" s="59" t="inlineStr">
        <is>
          <t>2.  Nếu lãi suất thả nổi tăng thêm 2%, DSCR còn trên 1,2 không? (xem kịch bản Thận trọng)</t>
        </is>
      </c>
    </row>
    <row r="14" ht="22" customHeight="1">
      <c r="A14" s="59" t="inlineStr">
        <is>
          <t>3.  Nếu năm năm nữa mới bán được, dòng tiền trong năm năm đó có đủ nuôi khoản vay không?</t>
        </is>
      </c>
    </row>
    <row r="16">
      <c r="A16" s="60" t="inlineStr">
        <is>
          <t>Ba con số đẹp trên file này chưa phải là một quyết định đúng. Còn pháp lý, còn hiện trạng công trình, còn khách thuê.
Nếu anh/chị muốn em cùng ngồi xuống đọc lại từng dòng cho chính toà nhà anh/chị đang nhắm — em luôn sẵn sàng, và không mất phí.
Cộng Hưởng Cùng Viên Mãn  ·  Nghĩ Thiện!  ·  DAPANO GROUP</t>
        </is>
      </c>
    </row>
    <row r="17"/>
    <row r="18"/>
    <row r="19"/>
  </sheetData>
  <sheetProtection selectLockedCells="0" selectUnlockedCells="0" sheet="1" objects="0" insertRows="1" insertHyperlinks="1" autoFilter="1" scenarios="0" formatColumns="1" deleteColumns="1" insertColumns="1" pivotTables="1" deleteRows="1" formatCells="1" formatRows="1" sort="1"/>
  <mergeCells count="7">
    <mergeCell ref="A13:C13"/>
    <mergeCell ref="A11:C11"/>
    <mergeCell ref="A16:C19"/>
    <mergeCell ref="A1:C1"/>
    <mergeCell ref="A14:C14"/>
    <mergeCell ref="A12:C12"/>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2026-09-06T12:22:13Z</dcterms:created>
  <dcterms:modified xsi:type="dcterms:W3CDTF">2026-09-06T12:22:13Z</dcterms:modified>
</cp:coreProperties>
</file>