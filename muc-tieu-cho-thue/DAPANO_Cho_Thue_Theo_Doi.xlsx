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GIẢ ĐỊNH" sheetId="2" state="visible" r:id="rId2"/>
    <sheet name="MỤC TIÊU" sheetId="3" state="visible" r:id="rId3"/>
    <sheet name="DANH MỤC TOÀ" sheetId="4" state="visible" r:id="rId4"/>
    <sheet name="THEO DÕI THÁNG" sheetId="5" state="visible" r:id="rId5"/>
    <sheet name="40 PHÒNG TRỐNG" sheetId="6" state="visible" r:id="rId6"/>
    <sheet name="NGÂN SÁCH" sheetId="7" state="visible" r:id="rId7"/>
  </sheets>
  <definedNames>
    <definedName name="_xlnm._FilterDatabase" localSheetId="4" hidden="1">'THEO DÕI THÁNG'!$A$4:$M$212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"/>
    <numFmt numFmtId="166" formatCode="DD/MM/YYYY"/>
  </numFmts>
  <fonts count="16">
    <font>
      <name val="Calibri"/>
      <family val="2"/>
      <color theme="1"/>
      <sz val="11"/>
      <scheme val="minor"/>
    </font>
    <font>
      <name val="Arial"/>
      <b val="1"/>
      <color rgb="0021135F"/>
      <sz val="16"/>
    </font>
    <font>
      <name val="Arial"/>
      <i val="1"/>
      <color rgb="006B5E85"/>
      <sz val="9"/>
    </font>
    <font>
      <name val="Arial"/>
      <b val="1"/>
      <color rgb="0021135F"/>
      <sz val="10"/>
    </font>
    <font>
      <name val="Arial"/>
      <color rgb="000000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B3253F"/>
      <sz val="10"/>
    </font>
    <font>
      <name val="Arial"/>
      <color rgb="00B3253F"/>
      <sz val="10"/>
    </font>
    <font>
      <name val="Arial"/>
      <b val="1"/>
      <color rgb="00FFFFFF"/>
      <sz val="11"/>
    </font>
    <font>
      <name val="Arial"/>
      <b val="1"/>
      <color rgb="000000FF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21135F"/>
      <sz val="12"/>
    </font>
    <font>
      <name val="Arial"/>
      <b val="1"/>
      <color rgb="0021135F"/>
      <sz val="11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1135F"/>
      </patternFill>
    </fill>
    <fill>
      <patternFill patternType="solid">
        <fgColor rgb="005E067C"/>
      </patternFill>
    </fill>
    <fill>
      <patternFill patternType="solid">
        <fgColor rgb="00F5F1F8"/>
      </patternFill>
    </fill>
    <fill>
      <patternFill patternType="solid">
        <fgColor rgb="00F0E0BA"/>
      </patternFill>
    </fill>
  </fills>
  <borders count="2">
    <border>
      <left/>
      <right/>
      <top/>
      <bottom/>
      <diagonal/>
    </border>
    <border>
      <left style="thin">
        <color rgb="00D6CEE6"/>
      </left>
      <right style="thin">
        <color rgb="00D6CEE6"/>
      </right>
      <top style="thin">
        <color rgb="00D6CEE6"/>
      </top>
      <bottom style="thin">
        <color rgb="00D6CEE6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4" fillId="2" borderId="1" applyAlignment="1" pivotButton="0" quotePrefix="0" xfId="0">
      <alignment horizontal="right"/>
    </xf>
    <xf numFmtId="0" fontId="2" fillId="0" borderId="1" pivotButton="0" quotePrefix="0" xfId="0"/>
    <xf numFmtId="165" fontId="4" fillId="2" borderId="1" applyAlignment="1" pivotButton="0" quotePrefix="0" xfId="0">
      <alignment horizontal="right"/>
    </xf>
    <xf numFmtId="3" fontId="4" fillId="2" borderId="1" applyAlignment="1" pivotButton="0" quotePrefix="0" xfId="0">
      <alignment horizontal="right"/>
    </xf>
    <xf numFmtId="0" fontId="10" fillId="4" borderId="1" pivotButton="0" quotePrefix="0" xfId="0"/>
    <xf numFmtId="0" fontId="0" fillId="4" borderId="1" pivotButton="0" quotePrefix="0" xfId="0"/>
    <xf numFmtId="0" fontId="5" fillId="0" borderId="1" pivotButton="0" quotePrefix="0" xfId="0"/>
    <xf numFmtId="3" fontId="4" fillId="0" borderId="1" pivotButton="0" quotePrefix="0" xfId="0"/>
    <xf numFmtId="165" fontId="7" fillId="0" borderId="1" pivotButton="0" quotePrefix="0" xfId="0"/>
    <xf numFmtId="164" fontId="5" fillId="0" borderId="1" pivotButton="0" quotePrefix="0" xfId="0"/>
    <xf numFmtId="0" fontId="6" fillId="5" borderId="1" pivotButton="0" quotePrefix="0" xfId="0"/>
    <xf numFmtId="0" fontId="0" fillId="5" borderId="1" pivotButton="0" quotePrefix="0" xfId="0"/>
    <xf numFmtId="164" fontId="6" fillId="5" borderId="1" pivotButton="0" quotePrefix="0" xfId="0"/>
    <xf numFmtId="0" fontId="3" fillId="6" borderId="1" pivotButton="0" quotePrefix="0" xfId="0"/>
    <xf numFmtId="0" fontId="0" fillId="0" borderId="1" pivotButton="0" quotePrefix="0" xfId="0"/>
    <xf numFmtId="0" fontId="0" fillId="6" borderId="1" pivotButton="0" quotePrefix="0" xfId="0"/>
    <xf numFmtId="164" fontId="11" fillId="6" borderId="1" pivotButton="0" quotePrefix="0" xfId="0"/>
    <xf numFmtId="0" fontId="12" fillId="3" borderId="1" pivotButton="0" quotePrefix="0" xfId="0"/>
    <xf numFmtId="0" fontId="0" fillId="3" borderId="1" pivotButton="0" quotePrefix="0" xfId="0"/>
    <xf numFmtId="0" fontId="13" fillId="3" borderId="1" pivotButton="0" quotePrefix="0" xfId="0"/>
    <xf numFmtId="164" fontId="10" fillId="3" borderId="1" pivotButton="0" quotePrefix="0" xfId="0"/>
    <xf numFmtId="0" fontId="14" fillId="6" borderId="1" pivotButton="0" quotePrefix="0" xfId="0"/>
    <xf numFmtId="164" fontId="15" fillId="6" borderId="1" pivotButton="0" quotePrefix="0" xfId="0"/>
    <xf numFmtId="164" fontId="6" fillId="0" borderId="0" pivotButton="0" quotePrefix="0" xfId="0"/>
    <xf numFmtId="3" fontId="7" fillId="0" borderId="0" pivotButton="0" quotePrefix="0" xfId="0"/>
    <xf numFmtId="165" fontId="5" fillId="0" borderId="0" pivotButton="0" quotePrefix="0" xfId="0"/>
    <xf numFmtId="0" fontId="13" fillId="3" borderId="1" applyAlignment="1" pivotButton="0" quotePrefix="0" xfId="0">
      <alignment horizontal="center" vertical="center" wrapText="1"/>
    </xf>
    <xf numFmtId="4" fontId="4" fillId="0" borderId="1" pivotButton="0" quotePrefix="0" xfId="0"/>
    <xf numFmtId="3" fontId="4" fillId="2" borderId="1" pivotButton="0" quotePrefix="0" xfId="0"/>
    <xf numFmtId="0" fontId="8" fillId="0" borderId="1" pivotButton="0" quotePrefix="0" xfId="0"/>
    <xf numFmtId="0" fontId="3" fillId="5" borderId="1" pivotButton="0" quotePrefix="0" xfId="0"/>
    <xf numFmtId="3" fontId="6" fillId="5" borderId="1" pivotButton="0" quotePrefix="0" xfId="0"/>
    <xf numFmtId="4" fontId="6" fillId="5" borderId="1" pivotButton="0" quotePrefix="0" xfId="0"/>
    <xf numFmtId="0" fontId="2" fillId="5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/>
    </xf>
    <xf numFmtId="166" fontId="4" fillId="0" borderId="1" pivotButton="0" quotePrefix="0" xfId="0"/>
    <xf numFmtId="3" fontId="5" fillId="0" borderId="1" pivotButton="0" quotePrefix="0" xfId="0"/>
    <xf numFmtId="0" fontId="4" fillId="2" borderId="1" pivotButton="0" quotePrefix="0" xfId="0"/>
    <xf numFmtId="3" fontId="6" fillId="6" borderId="0" pivotButton="0" quotePrefix="0" xfId="0"/>
    <xf numFmtId="164" fontId="6" fillId="6" borderId="0" pivotButton="0" quotePrefix="0" xfId="0"/>
    <xf numFmtId="0" fontId="3" fillId="0" borderId="1" pivotButton="0" quotePrefix="0" xfId="0"/>
    <xf numFmtId="164" fontId="4" fillId="2" borderId="1" pivotButton="0" quotePrefix="0" xfId="0"/>
    <xf numFmtId="165" fontId="4" fillId="2" borderId="1" pivotButton="0" quotePrefix="0" xfId="0"/>
    <xf numFmtId="165" fontId="6" fillId="5" borderId="1" pivotButton="0" quotePrefix="0" xfId="0"/>
    <xf numFmtId="164" fontId="6" fillId="6" borderId="1" pivotButton="0" quotePrefix="0" xfId="0"/>
    <xf numFmtId="165" fontId="6" fillId="6" borderId="1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DAPANO</author>
  </authors>
  <commentList>
    <comment ref="C6" authorId="0" shapeId="0">
      <text>
        <t>Giả định lập kế hoạch, chưa phải số thật. Chi phí vận hành trực tiếp từng toà chưa có dữ liệu — hiệu chỉnh sau 2 tháng có số thực chi.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1" ht="22" customHeight="1">
      <c r="A1" s="1" t="inlineStr">
        <is>
          <t>BỘ PHẬN CHO THUÊ — HỆ THỐNG THEO DÕI MỤC TIÊU</t>
        </is>
      </c>
    </row>
    <row r="2">
      <c r="A2" s="2" t="inlineStr">
        <is>
          <t>DAPANO GROUP · Mục tiêu 5 tỷ NOI tăng thêm (5% của kế hoạch 100 tỷ) · T9/2026 → T10/2028</t>
        </is>
      </c>
    </row>
    <row r="4">
      <c r="B4" s="3" t="inlineStr">
        <is>
          <t>QUY ƯỚC MÀU</t>
        </is>
      </c>
    </row>
    <row r="5">
      <c r="B5" s="4" t="inlineStr">
        <is>
          <t>Chữ XANH DƯƠNG</t>
        </is>
      </c>
      <c r="C5" s="5" t="inlineStr">
        <is>
          <t>Số do người dùng nhập tay. Đây là những ô anh/chị được sửa.</t>
        </is>
      </c>
    </row>
    <row r="6">
      <c r="B6" s="6" t="inlineStr">
        <is>
          <t>Nền VÀNG</t>
        </is>
      </c>
      <c r="C6" s="5" t="inlineStr">
        <is>
          <t>Giả định then chốt — sửa ở sheet GIẢ ĐỊNH, toàn bộ file tự tính lại.</t>
        </is>
      </c>
    </row>
    <row r="7">
      <c r="B7" s="5" t="inlineStr">
        <is>
          <t>Chữ ĐEN</t>
        </is>
      </c>
      <c r="C7" s="5" t="inlineStr">
        <is>
          <t>Công thức. KHÔNG sửa tay, sửa là hỏng liên kết.</t>
        </is>
      </c>
    </row>
    <row r="8">
      <c r="B8" s="7" t="inlineStr">
        <is>
          <t>Chữ XANH LÁ</t>
        </is>
      </c>
      <c r="C8" s="5" t="inlineStr">
        <is>
          <t>Tham chiếu sang sheet khác.</t>
        </is>
      </c>
    </row>
    <row r="10">
      <c r="B10" s="3" t="inlineStr">
        <is>
          <t>CÁC SHEET</t>
        </is>
      </c>
    </row>
    <row r="11">
      <c r="B11" s="8" t="inlineStr">
        <is>
          <t>GIẢ ĐỊNH</t>
        </is>
      </c>
      <c r="C11" s="5" t="inlineStr">
        <is>
          <t>Toàn bộ thông số đầu vào. Sửa ở đây, mọi sheet khác tự cập nhật.</t>
        </is>
      </c>
    </row>
    <row r="12">
      <c r="B12" s="8" t="inlineStr">
        <is>
          <t>MỤC TIÊU</t>
        </is>
      </c>
      <c r="C12" s="5" t="inlineStr">
        <is>
          <t>Phân rã 5 tỷ theo năm và theo nguồn. Cột NOI mô hình là công thức, cột Mục tiêu giao là con số cam kết.</t>
        </is>
      </c>
    </row>
    <row r="13">
      <c r="B13" s="8" t="inlineStr">
        <is>
          <t>DANH MỤC TOÀ</t>
        </is>
      </c>
      <c r="C13" s="5" t="inlineStr">
        <is>
          <t>8 toà hiện có + toà dự kiến thêm. Số đơn vị từng toà theo giai đoạn 1 và 2.</t>
        </is>
      </c>
    </row>
    <row r="14">
      <c r="B14" s="8" t="inlineStr">
        <is>
          <t>THEO DÕI THÁNG</t>
        </is>
      </c>
      <c r="C14" s="5" t="inlineStr">
        <is>
          <t>Sổ chính. Mỗi tháng mỗi toà một dòng. Trưởng toà điền 4 ô đầu vào, 5 chỉ số còn lại tự tính.</t>
        </is>
      </c>
    </row>
    <row r="15">
      <c r="B15" s="8" t="inlineStr">
        <is>
          <t>40 PHÒNG TRỐNG</t>
        </is>
      </c>
      <c r="C15" s="5" t="inlineStr">
        <is>
          <t>Danh sách từng phòng trống, phân nhóm A/B/C/D, bậc thang giá tự tính theo số ngày trống.</t>
        </is>
      </c>
    </row>
    <row r="16">
      <c r="B16" s="8" t="inlineStr">
        <is>
          <t>NGÂN SÁCH</t>
        </is>
      </c>
      <c r="C16" s="5" t="inlineStr">
        <is>
          <t>Trần chi phí theo % doanh thu và đối chiếu thực chi.</t>
        </is>
      </c>
    </row>
    <row r="18">
      <c r="B18" s="3" t="inlineStr">
        <is>
          <t>NHỊP CẬP NHẬT</t>
        </is>
      </c>
    </row>
    <row r="19">
      <c r="B19" s="8" t="inlineStr">
        <is>
          <t>Hằng ngày</t>
        </is>
      </c>
      <c r="C19" s="5" t="inlineStr">
        <is>
          <t>Trưởng toà cập nhật sheet 40 PHÒNG TRỐNG khi có phòng lấp được.</t>
        </is>
      </c>
    </row>
    <row r="20">
      <c r="B20" s="8" t="inlineStr">
        <is>
          <t>Ngày 1 và 15</t>
        </is>
      </c>
      <c r="C20" s="5" t="inlineStr">
        <is>
          <t>Trưởng toà điền THEO DÕI THÁNG cho toà mình.</t>
        </is>
      </c>
    </row>
    <row r="21">
      <c r="B21" s="8" t="inlineStr">
        <is>
          <t>Ngày 3 hằng tháng</t>
        </is>
      </c>
      <c r="C21" s="5" t="inlineStr">
        <is>
          <t>GĐ Vận hành chốt số toàn danh mục, đối chiếu MỤC TIÊU.</t>
        </is>
      </c>
    </row>
    <row r="24">
      <c r="B24" s="9" t="inlineStr">
        <is>
          <t>CẢNH BÁO QUAN TRỌNG</t>
        </is>
      </c>
      <c r="C24" s="10" t="inlineStr">
        <is>
          <t>Biên NOI 55% là GIẢ ĐỊNH LẬP KẾ HOẠCH, chưa phải số thật — chi phí vận hành trực tiếp từng toà hiện chưa có trong bất kỳ tài liệu nào.</t>
        </is>
      </c>
    </row>
    <row r="25">
      <c r="C25" s="10" t="inlineStr">
        <is>
          <t>Sau 2 tháng có số thực chi, phải quay lại sheet GIẢ ĐỊNH sửa lại biên NOI. Toàn bộ mục tiêu sẽ tự tính lại theo số thật.</t>
        </is>
      </c>
    </row>
    <row r="28">
      <c r="B28" s="3" t="inlineStr">
        <is>
          <t>SỐ ĐỐI CHIẾU KHI MỞ FILE</t>
        </is>
      </c>
      <c r="C28" s="2" t="inlineStr">
        <is>
          <t>Mở sheet MỤC TIÊU và đối chiếu ba ô dưới đây. Khớp là file chạy đúng công thức.</t>
        </is>
      </c>
    </row>
    <row r="29">
      <c r="B29" s="5" t="inlineStr">
        <is>
          <t>G25 — Tổng NOI mô hình</t>
        </is>
      </c>
      <c r="C29" s="62" t="n">
        <v>5092106250.000001</v>
      </c>
    </row>
    <row r="30">
      <c r="B30" s="5" t="inlineStr">
        <is>
          <t>G26 — Tổng mục tiêu giao</t>
        </is>
      </c>
      <c r="C30" s="62" t="n">
        <v>5000000000</v>
      </c>
    </row>
    <row r="31">
      <c r="B31" s="5" t="inlineStr">
        <is>
          <t>G27 — Đệm an toàn</t>
        </is>
      </c>
      <c r="C31" s="62" t="n">
        <v>92106250.00000095</v>
      </c>
    </row>
    <row r="33">
      <c r="B33" s="3" t="inlineStr">
        <is>
          <t>LƯU Ý KỸ THUẬT</t>
        </is>
      </c>
      <c r="C33" s="2" t="inlineStr">
        <is>
          <t>File lưu công thức chứ không lưu sẵn kết quả. Excel và Google Sheets sẽ tự tính khi mở — nếu ô nào trống lúc xem thử ở trình xem nhanh, mở bằng Excel là hiện số.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68" customWidth="1" min="4" max="4"/>
  </cols>
  <sheetData>
    <row r="1" ht="22" customHeight="1">
      <c r="A1" s="1" t="inlineStr">
        <is>
          <t>GIẢ ĐỊNH</t>
        </is>
      </c>
    </row>
    <row r="2">
      <c r="A2" s="2" t="inlineStr">
        <is>
          <t>Sửa cột C. Mọi sheet khác tham chiếu về đây.</t>
        </is>
      </c>
    </row>
    <row r="4" ht="32" customHeight="1">
      <c r="A4" s="11" t="inlineStr"/>
      <c r="B4" s="11" t="inlineStr">
        <is>
          <t>Thông số</t>
        </is>
      </c>
      <c r="C4" s="11" t="inlineStr">
        <is>
          <t>Giá trị</t>
        </is>
      </c>
      <c r="D4" s="11" t="inlineStr">
        <is>
          <t>Nguồn / ghi chú</t>
        </is>
      </c>
    </row>
    <row r="5">
      <c r="B5" s="12" t="inlineStr">
        <is>
          <t>Giá thuê bình quân mỗi đơn vị / tháng (đ)</t>
        </is>
      </c>
      <c r="C5" s="13" t="n">
        <v>5250000</v>
      </c>
      <c r="D5" s="14" t="inlineStr">
        <is>
          <t>Biên bản họp 04/05/2026: giá phòng 5–5,5 triệu. Lấy trung điểm.</t>
        </is>
      </c>
    </row>
    <row r="6">
      <c r="B6" s="12" t="inlineStr">
        <is>
          <t>Biên NOI (%)</t>
        </is>
      </c>
      <c r="C6" s="15" t="n">
        <v>0.55</v>
      </c>
      <c r="D6" s="14" t="inlineStr">
        <is>
          <t>GIẢ ĐỊNH LẬP KẾ HOẠCH — chưa có số chi phí thật. Phải hiệu chỉnh sau 2 tháng.</t>
        </is>
      </c>
    </row>
    <row r="7">
      <c r="B7" s="12" t="inlineStr">
        <is>
          <t>Phí quản lý hộ khách (%)</t>
        </is>
      </c>
      <c r="C7" s="15" t="n">
        <v>0.09</v>
      </c>
      <c r="D7" s="14" t="inlineStr">
        <is>
          <t>Khoảng 8–10% trên tiền thuê thu được. Lấy trung điểm.</t>
        </is>
      </c>
    </row>
    <row r="8">
      <c r="B8" s="12" t="inlineStr">
        <is>
          <t>Tỷ lệ lấp đầy mục tiêu (%)</t>
        </is>
      </c>
      <c r="C8" s="15" t="n">
        <v>0.9</v>
      </c>
      <c r="D8" s="14" t="inlineStr">
        <is>
          <t>Mục tiêu vận hành. Sàn chấp nhận được 85%.</t>
        </is>
      </c>
    </row>
    <row r="9">
      <c r="B9" s="12" t="inlineStr">
        <is>
          <t>Tỷ lệ lấp đầy toà mới trong 6 tháng đầu (%)</t>
        </is>
      </c>
      <c r="C9" s="15" t="n">
        <v>0.85</v>
      </c>
      <c r="D9" s="14" t="inlineStr">
        <is>
          <t>Toà mới cần thời gian đạt công suất.</t>
        </is>
      </c>
    </row>
    <row r="10">
      <c r="B10" s="12" t="inlineStr">
        <is>
          <t>Số đơn vị bình quân mỗi toà mới</t>
        </is>
      </c>
      <c r="C10" s="16" t="n">
        <v>21</v>
      </c>
      <c r="D10" s="14" t="inlineStr">
        <is>
          <t>Bình quân 7 dự án có số liệu trong hồ sơ danh mục (147 ÷ 7).</t>
        </is>
      </c>
    </row>
    <row r="11">
      <c r="B11" s="12" t="inlineStr">
        <is>
          <t>Số đơn vị đang khai thác — mốc gốc T8/2026</t>
        </is>
      </c>
      <c r="C11" s="16" t="n">
        <v>147</v>
      </c>
      <c r="D11" s="14" t="inlineStr">
        <is>
          <t>Hồ sơ Danh mục 08 Dự án, phương án khai thác giai đoạn 1, 7 dự án có số.</t>
        </is>
      </c>
    </row>
    <row r="12">
      <c r="B12" s="12" t="inlineStr">
        <is>
          <t>Số phòng trống tại mốc gốc</t>
        </is>
      </c>
      <c r="C12" s="16" t="n">
        <v>40</v>
      </c>
      <c r="D12" s="14" t="inlineStr">
        <is>
          <t>Biên bản họp 04/05/2026: 28 đang trống + 12 sắp trống.</t>
        </is>
      </c>
    </row>
    <row r="13">
      <c r="B13" s="12" t="inlineStr">
        <is>
          <t>Số phòng trống cam kết lấp trong 2026</t>
        </is>
      </c>
      <c r="C13" s="16" t="n">
        <v>30</v>
      </c>
      <c r="D13" s="14" t="inlineStr">
        <is>
          <t>Mục tiêu chiến dịch 60 ngày: lấp 30/40.</t>
        </is>
      </c>
    </row>
    <row r="14">
      <c r="B14" s="12" t="inlineStr">
        <is>
          <t>Số đơn vị tăng thêm khi hoàn tất giai đoạn 2</t>
        </is>
      </c>
      <c r="C14" s="16" t="n">
        <v>42</v>
      </c>
      <c r="D14" s="14" t="inlineStr">
        <is>
          <t>189 (GĐ2) − 147 (GĐ1), theo hồ sơ danh mục.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2" customWidth="1" min="3" max="3"/>
    <col width="12" customWidth="1" min="4" max="4"/>
    <col width="11" customWidth="1" min="5" max="5"/>
    <col width="13" customWidth="1" min="6" max="6"/>
    <col width="16" customWidth="1" min="7" max="7"/>
    <col width="16" customWidth="1" min="8" max="8"/>
    <col width="46" customWidth="1" min="9" max="9"/>
  </cols>
  <sheetData>
    <row r="1" ht="22" customHeight="1">
      <c r="A1" s="1" t="inlineStr">
        <is>
          <t>PHÂN RÃ MỤC TIÊU 5 TỶ — BỘ PHẬN CHO THUÊ</t>
        </is>
      </c>
    </row>
    <row r="2">
      <c r="A2" s="2" t="inlineStr">
        <is>
          <t>5% của kế hoạch 100 tỷ. Định nghĩa: NOI TĂNG THÊM so với mốc gốc T8/2026, không tính phần nền danh mục vốn đã chạy.</t>
        </is>
      </c>
    </row>
    <row r="4" ht="32" customHeight="1">
      <c r="A4" s="11" t="inlineStr"/>
      <c r="B4" s="11" t="inlineStr">
        <is>
          <t>Nguồn tạo ra NOI tăng thêm</t>
        </is>
      </c>
      <c r="C4" s="11" t="inlineStr">
        <is>
          <t>Số đơn vị</t>
        </is>
      </c>
      <c r="D4" s="11" t="inlineStr">
        <is>
          <t>Tháng hiệu lực</t>
        </is>
      </c>
      <c r="E4" s="11" t="inlineStr">
        <is>
          <t>Lấp đầy</t>
        </is>
      </c>
      <c r="F4" s="11" t="inlineStr">
        <is>
          <t>Loại</t>
        </is>
      </c>
      <c r="G4" s="11" t="inlineStr">
        <is>
          <t>NOI mô hình (đ)</t>
        </is>
      </c>
      <c r="H4" s="11" t="inlineStr">
        <is>
          <t>Ghi chú</t>
        </is>
      </c>
    </row>
    <row r="5">
      <c r="B5" s="17" t="inlineStr">
        <is>
          <t>GIAI ĐOẠN 1 · T9–T12/2026  (4 tháng)</t>
        </is>
      </c>
      <c r="C5" s="18" t="n"/>
      <c r="D5" s="18" t="n"/>
      <c r="E5" s="18" t="n"/>
      <c r="F5" s="18" t="n"/>
      <c r="G5" s="18" t="n"/>
      <c r="H5" s="18" t="n"/>
      <c r="I5" s="18" t="n"/>
    </row>
    <row r="6">
      <c r="B6" s="19" t="inlineStr">
        <is>
          <t>Lấp 30/40 phòng trống — tính theo phòng-tháng</t>
        </is>
      </c>
      <c r="C6" s="20" t="n">
        <v>73</v>
      </c>
      <c r="D6" s="20" t="n">
        <v>1</v>
      </c>
      <c r="E6" s="21" t="n">
        <v>1</v>
      </c>
      <c r="F6" s="19" t="inlineStr">
        <is>
          <t>NOI</t>
        </is>
      </c>
      <c r="G6" s="22">
        <f>C6*D6*E6*('GIẢ ĐỊNH'!$C$5*'GIẢ ĐỊNH'!$C$6)</f>
        <v/>
      </c>
      <c r="H6" s="14" t="inlineStr">
        <is>
          <t>Lộ trình lấp: T9 lấp 5 · T10 lấp 10 · T11 lấp 8 · T12 lấp 7. Cộng lại 73 phòng-tháng.</t>
        </is>
      </c>
    </row>
    <row r="7">
      <c r="B7" s="23" t="inlineStr">
        <is>
          <t>Cộng mô hình</t>
        </is>
      </c>
      <c r="C7" s="24" t="n"/>
      <c r="D7" s="24" t="n"/>
      <c r="E7" s="24" t="n"/>
      <c r="F7" s="24" t="inlineStr"/>
      <c r="G7" s="25">
        <f>SUM(G6:G6)</f>
        <v/>
      </c>
      <c r="H7" s="24" t="n"/>
    </row>
    <row r="8">
      <c r="B8" s="26" t="inlineStr">
        <is>
          <t>MỤC TIÊU GIAO</t>
        </is>
      </c>
      <c r="C8" s="27" t="n"/>
      <c r="D8" s="27" t="n"/>
      <c r="E8" s="27" t="n"/>
      <c r="F8" s="28" t="n"/>
      <c r="G8" s="29" t="n">
        <v>200000000</v>
      </c>
      <c r="H8" s="14" t="inlineStr">
        <is>
          <t>Con số cam kết với ban điều hành. Sửa được.</t>
        </is>
      </c>
    </row>
    <row r="10">
      <c r="B10" s="17" t="inlineStr">
        <is>
          <t>GIAI ĐOẠN 2 · CẢ NĂM 2027</t>
        </is>
      </c>
      <c r="C10" s="18" t="n"/>
      <c r="D10" s="18" t="n"/>
      <c r="E10" s="18" t="n"/>
      <c r="F10" s="18" t="n"/>
      <c r="G10" s="18" t="n"/>
      <c r="H10" s="18" t="n"/>
      <c r="I10" s="18" t="n"/>
    </row>
    <row r="11">
      <c r="B11" s="19" t="inlineStr">
        <is>
          <t>Lớp 1 — 30 phòng đã lấp, chạy đủ năm</t>
        </is>
      </c>
      <c r="C11" s="20" t="n">
        <v>30</v>
      </c>
      <c r="D11" s="20" t="n">
        <v>12</v>
      </c>
      <c r="E11" s="21" t="n">
        <v>1</v>
      </c>
      <c r="F11" s="19" t="inlineStr">
        <is>
          <t>NOI</t>
        </is>
      </c>
      <c r="G11" s="22">
        <f>C11*D11*E11*('GIẢ ĐỊNH'!$C$5*'GIẢ ĐỊNH'!$C$6)</f>
        <v/>
      </c>
      <c r="H11" s="14" t="inlineStr">
        <is>
          <t>Thành quả 2026 chuyển sang, không phải làm lại.</t>
        </is>
      </c>
    </row>
    <row r="12">
      <c r="B12" s="19" t="inlineStr">
        <is>
          <t>Lớp 2 — hoàn tất giai đoạn 2 của 8 toà hiện có</t>
        </is>
      </c>
      <c r="C12" s="20" t="n">
        <v>42</v>
      </c>
      <c r="D12" s="20" t="n">
        <v>5</v>
      </c>
      <c r="E12" s="21" t="n">
        <v>0.85</v>
      </c>
      <c r="F12" s="19" t="inlineStr">
        <is>
          <t>NOI</t>
        </is>
      </c>
      <c r="G12" s="22">
        <f>C12*D12*E12*('GIẢ ĐỊNH'!$C$5*'GIẢ ĐỊNH'!$C$6)</f>
        <v/>
      </c>
      <c r="H12" s="14" t="inlineStr">
        <is>
          <t>147 → 189 đơn vị. Hiệu lực bình quân 5 tháng vì hoàn thành rải trong năm.</t>
        </is>
      </c>
    </row>
    <row r="13">
      <c r="B13" s="19" t="inlineStr">
        <is>
          <t>Phí quản lý hộ khách — toà đầu tiên</t>
        </is>
      </c>
      <c r="C13" s="20" t="n">
        <v>20</v>
      </c>
      <c r="D13" s="20" t="n">
        <v>6</v>
      </c>
      <c r="E13" s="21" t="n">
        <v>0.85</v>
      </c>
      <c r="F13" s="19" t="inlineStr">
        <is>
          <t>PHÍ</t>
        </is>
      </c>
      <c r="G13" s="22">
        <f>C13*D13*E13*('GIẢ ĐỊNH'!$C$5*'GIẢ ĐỊNH'!$C$7)</f>
        <v/>
      </c>
      <c r="H13" s="14" t="inlineStr">
        <is>
          <t>Nhận vận hành hộ, thu phí 9% trên tiền thuê. Không cần vốn.</t>
        </is>
      </c>
    </row>
    <row r="14">
      <c r="B14" s="23" t="inlineStr">
        <is>
          <t>Cộng mô hình</t>
        </is>
      </c>
      <c r="C14" s="24" t="n"/>
      <c r="D14" s="24" t="n"/>
      <c r="E14" s="24" t="n"/>
      <c r="F14" s="24" t="inlineStr"/>
      <c r="G14" s="25">
        <f>SUM(G11:G13)</f>
        <v/>
      </c>
      <c r="H14" s="24" t="n"/>
    </row>
    <row r="15">
      <c r="B15" s="26" t="inlineStr">
        <is>
          <t>MỤC TIÊU GIAO</t>
        </is>
      </c>
      <c r="C15" s="27" t="n"/>
      <c r="D15" s="27" t="n"/>
      <c r="E15" s="27" t="n"/>
      <c r="F15" s="28" t="n"/>
      <c r="G15" s="29" t="n">
        <v>1600000000</v>
      </c>
      <c r="H15" s="14" t="inlineStr">
        <is>
          <t>Con số cam kết với ban điều hành. Sửa được.</t>
        </is>
      </c>
    </row>
    <row r="17">
      <c r="B17" s="17" t="inlineStr">
        <is>
          <t>GIAI ĐOẠN 3 · T1–T10/2028  (10 tháng)</t>
        </is>
      </c>
      <c r="C17" s="18" t="n"/>
      <c r="D17" s="18" t="n"/>
      <c r="E17" s="18" t="n"/>
      <c r="F17" s="18" t="n"/>
      <c r="G17" s="18" t="n"/>
      <c r="H17" s="18" t="n"/>
      <c r="I17" s="18" t="n"/>
    </row>
    <row r="18">
      <c r="B18" s="19" t="inlineStr">
        <is>
          <t>Nền — 30 phòng đã lấp + 42 đơn vị giai đoạn 2</t>
        </is>
      </c>
      <c r="C18" s="20" t="n">
        <v>72</v>
      </c>
      <c r="D18" s="20" t="n">
        <v>10</v>
      </c>
      <c r="E18" s="21" t="n">
        <v>0.9</v>
      </c>
      <c r="F18" s="19" t="inlineStr">
        <is>
          <t>NOI</t>
        </is>
      </c>
      <c r="G18" s="22">
        <f>C18*D18*E18*('GIẢ ĐỊNH'!$C$5*'GIẢ ĐỊNH'!$C$6)</f>
        <v/>
      </c>
      <c r="H18" s="14" t="inlineStr">
        <is>
          <t>Toàn bộ thành quả hai năm trước, chạy ở lấp đầy mục tiêu.</t>
        </is>
      </c>
    </row>
    <row r="19">
      <c r="B19" s="19" t="inlineStr">
        <is>
          <t>3 toà mới nhận vận hành</t>
        </is>
      </c>
      <c r="C19" s="20" t="n">
        <v>63</v>
      </c>
      <c r="D19" s="20" t="n">
        <v>6</v>
      </c>
      <c r="E19" s="21" t="n">
        <v>0.85</v>
      </c>
      <c r="F19" s="19" t="inlineStr">
        <is>
          <t>NOI</t>
        </is>
      </c>
      <c r="G19" s="22">
        <f>C19*D19*E19*('GIẢ ĐỊNH'!$C$5*'GIẢ ĐỊNH'!$C$6)</f>
        <v/>
      </c>
      <c r="H19" s="14" t="inlineStr">
        <is>
          <t>21 đơn vị/toà. Hiệu lực bình quân 6 tháng.</t>
        </is>
      </c>
    </row>
    <row r="20">
      <c r="B20" s="19" t="inlineStr">
        <is>
          <t>Toà thứ 4 — toà đóng khoảng cách</t>
        </is>
      </c>
      <c r="C20" s="20" t="n">
        <v>21</v>
      </c>
      <c r="D20" s="20" t="n">
        <v>6</v>
      </c>
      <c r="E20" s="21" t="n">
        <v>0.85</v>
      </c>
      <c r="F20" s="19" t="inlineStr">
        <is>
          <t>NOI</t>
        </is>
      </c>
      <c r="G20" s="22">
        <f>C20*D20*E20*('GIẢ ĐỊNH'!$C$5*'GIẢ ĐỊNH'!$C$6)</f>
        <v/>
      </c>
      <c r="H20" s="14" t="inlineStr">
        <is>
          <t>Chính toà này đóng nốt phần còn thiếu để chạm 5 tỷ.</t>
        </is>
      </c>
    </row>
    <row r="21">
      <c r="B21" s="19" t="inlineStr">
        <is>
          <t>Phí quản lý hộ khách — 40 đơn vị</t>
        </is>
      </c>
      <c r="C21" s="20" t="n">
        <v>40</v>
      </c>
      <c r="D21" s="20" t="n">
        <v>10</v>
      </c>
      <c r="E21" s="21" t="n">
        <v>0.9</v>
      </c>
      <c r="F21" s="19" t="inlineStr">
        <is>
          <t>PHÍ</t>
        </is>
      </c>
      <c r="G21" s="22">
        <f>C21*D21*E21*('GIẢ ĐỊNH'!$C$5*'GIẢ ĐỊNH'!$C$7)</f>
        <v/>
      </c>
      <c r="H21" s="14" t="inlineStr">
        <is>
          <t>Mở rộng dịch vụ quản lý hộ cho khách đầu tư.</t>
        </is>
      </c>
    </row>
    <row r="22">
      <c r="B22" s="23" t="inlineStr">
        <is>
          <t>Cộng mô hình</t>
        </is>
      </c>
      <c r="C22" s="24" t="n"/>
      <c r="D22" s="24" t="n"/>
      <c r="E22" s="24" t="n"/>
      <c r="F22" s="24" t="inlineStr"/>
      <c r="G22" s="25">
        <f>SUM(G18:G21)</f>
        <v/>
      </c>
      <c r="H22" s="24" t="n"/>
    </row>
    <row r="23">
      <c r="B23" s="26" t="inlineStr">
        <is>
          <t>MỤC TIÊU GIAO</t>
        </is>
      </c>
      <c r="C23" s="27" t="n"/>
      <c r="D23" s="27" t="n"/>
      <c r="E23" s="27" t="n"/>
      <c r="F23" s="28" t="n"/>
      <c r="G23" s="29" t="n">
        <v>3200000000</v>
      </c>
      <c r="H23" s="14" t="inlineStr">
        <is>
          <t>Con số cam kết với ban điều hành. Sửa được.</t>
        </is>
      </c>
    </row>
    <row r="25">
      <c r="B25" s="30" t="inlineStr">
        <is>
          <t>TỔNG TOÀN KỲ</t>
        </is>
      </c>
      <c r="C25" s="31" t="n"/>
      <c r="D25" s="31" t="n"/>
      <c r="E25" s="31" t="n"/>
      <c r="F25" s="32" t="inlineStr">
        <is>
          <t>Mô hình</t>
        </is>
      </c>
      <c r="G25" s="33">
        <f>G7+G14+G22</f>
        <v/>
      </c>
      <c r="H25" s="31" t="n"/>
    </row>
    <row r="26">
      <c r="B26" s="34" t="inlineStr">
        <is>
          <t>TỔNG MỤC TIÊU GIAO</t>
        </is>
      </c>
      <c r="C26" s="28" t="n"/>
      <c r="D26" s="28" t="n"/>
      <c r="E26" s="28" t="n"/>
      <c r="F26" s="28" t="n"/>
      <c r="G26" s="35">
        <f>G8+G15+G23</f>
        <v/>
      </c>
      <c r="H26" s="28" t="n"/>
    </row>
    <row r="27">
      <c r="B27" s="8" t="inlineStr">
        <is>
          <t>Đệm an toàn (mô hình − giao)</t>
        </is>
      </c>
      <c r="G27" s="36">
        <f>G25-G26</f>
        <v/>
      </c>
      <c r="H27" s="2" t="inlineStr">
        <is>
          <t>Mô hình chạy cao hơn con số cam kết. Đệm dương là lành mạnh — cam kết thấp hơn năng lực.</t>
        </is>
      </c>
    </row>
    <row r="29">
      <c r="B29" s="3" t="inlineStr">
        <is>
          <t>Quy mô đơn vị khai thác</t>
        </is>
      </c>
    </row>
    <row r="30">
      <c r="B30" s="5" t="inlineStr">
        <is>
          <t>Mốc gốc T8/2026</t>
        </is>
      </c>
      <c r="C30" s="37">
        <f>'GIẢ ĐỊNH'!$C$11</f>
        <v/>
      </c>
      <c r="H30" s="2" t="inlineStr"/>
    </row>
    <row r="31">
      <c r="B31" s="5" t="inlineStr">
        <is>
          <t>Cuối 2027</t>
        </is>
      </c>
      <c r="C31" s="37">
        <f>'GIẢ ĐỊNH'!$C$11+'GIẢ ĐỊNH'!$C$14</f>
        <v/>
      </c>
      <c r="H31" s="2" t="inlineStr">
        <is>
          <t>Hoàn tất giai đoạn 2 của 8 toà hiện có</t>
        </is>
      </c>
    </row>
    <row r="32">
      <c r="B32" s="5" t="inlineStr">
        <is>
          <t>Cuối T10/2028</t>
        </is>
      </c>
      <c r="C32" s="37">
        <f>'GIẢ ĐỊNH'!$C$11+'GIẢ ĐỊNH'!$C$14+4*'GIẢ ĐỊNH'!$C$10</f>
        <v/>
      </c>
      <c r="H32" s="2" t="inlineStr">
        <is>
          <t>Cộng thêm 4 toà mới</t>
        </is>
      </c>
    </row>
    <row r="33">
      <c r="B33" s="5" t="inlineStr">
        <is>
          <t>Tăng trưởng 2027</t>
        </is>
      </c>
      <c r="C33" s="38">
        <f>C31/C30-1</f>
        <v/>
      </c>
    </row>
    <row r="34">
      <c r="B34" s="5" t="inlineStr">
        <is>
          <t>Tăng trưởng 2028</t>
        </is>
      </c>
      <c r="C34" s="38">
        <f>C32/C31-1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6" customWidth="1" min="4" max="4"/>
    <col width="11" customWidth="1" min="5" max="5"/>
    <col width="11" customWidth="1" min="6" max="6"/>
    <col width="14" customWidth="1" min="7" max="7"/>
    <col width="20" customWidth="1" min="8" max="8"/>
    <col width="52" customWidth="1" min="9" max="9"/>
  </cols>
  <sheetData>
    <row r="1" ht="22" customHeight="1">
      <c r="A1" s="1" t="inlineStr">
        <is>
          <t>DANH MỤC TOÀ NHÀ</t>
        </is>
      </c>
    </row>
    <row r="2">
      <c r="A2" s="2" t="inlineStr">
        <is>
          <t>Nguồn: hồ sơ Danh mục 08 Dự án BĐS Dòng tiền — DAPANO GROUP. Cột xanh dương là số từ hồ sơ, sửa được khi có số cập nhật.</t>
        </is>
      </c>
    </row>
    <row r="4" ht="34" customHeight="1">
      <c r="A4" s="39" t="inlineStr">
        <is>
          <t>STT</t>
        </is>
      </c>
      <c r="B4" s="39" t="inlineStr">
        <is>
          <t>Toà nhà</t>
        </is>
      </c>
      <c r="C4" s="39" t="inlineStr">
        <is>
          <t>Quận</t>
        </is>
      </c>
      <c r="D4" s="39" t="inlineStr">
        <is>
          <t>Cụm</t>
        </is>
      </c>
      <c r="E4" s="39" t="inlineStr">
        <is>
          <t>Đơn vị GĐ1</t>
        </is>
      </c>
      <c r="F4" s="39" t="inlineStr">
        <is>
          <t>Đơn vị GĐ2</t>
        </is>
      </c>
      <c r="G4" s="39" t="inlineStr">
        <is>
          <t>Vốn đầu tư (tỷ)</t>
        </is>
      </c>
      <c r="H4" s="39" t="inlineStr">
        <is>
          <t>DT/tháng khi đầy (đ)</t>
        </is>
      </c>
      <c r="I4" s="39" t="inlineStr">
        <is>
          <t>Ghi chú</t>
        </is>
      </c>
    </row>
    <row r="5">
      <c r="A5" s="19" t="n">
        <v>1</v>
      </c>
      <c r="B5" s="12" t="inlineStr">
        <is>
          <t>Điện Biên Phủ</t>
        </is>
      </c>
      <c r="C5" s="19" t="inlineStr">
        <is>
          <t>Q.10</t>
        </is>
      </c>
      <c r="D5" s="19" t="inlineStr">
        <is>
          <t>Trung tâm</t>
        </is>
      </c>
      <c r="E5" s="20" t="n">
        <v>19</v>
      </c>
      <c r="F5" s="20" t="n">
        <v>23</v>
      </c>
      <c r="G5" s="40" t="n">
        <v>24.5</v>
      </c>
      <c r="H5" s="22">
        <f>E5*'GIẢ ĐỊNH'!$C$5</f>
        <v/>
      </c>
      <c r="I5" s="14" t="inlineStr">
        <is>
          <t>Doanh thu mục tiêu 200–230 tr/tháng khi hoàn thiện</t>
        </is>
      </c>
    </row>
    <row r="6">
      <c r="A6" s="19" t="n">
        <v>2</v>
      </c>
      <c r="B6" s="12" t="inlineStr">
        <is>
          <t>Vườn Lài</t>
        </is>
      </c>
      <c r="C6" s="19" t="inlineStr">
        <is>
          <t>Tân Phú</t>
        </is>
      </c>
      <c r="D6" s="19" t="inlineStr">
        <is>
          <t>Tân Phú</t>
        </is>
      </c>
      <c r="E6" s="20" t="n">
        <v>32</v>
      </c>
      <c r="F6" s="20" t="n">
        <v>39</v>
      </c>
      <c r="G6" s="40" t="n">
        <v>28.5</v>
      </c>
      <c r="H6" s="22">
        <f>E6*'GIẢ ĐỊNH'!$C$5</f>
        <v/>
      </c>
      <c r="I6" s="14" t="inlineStr">
        <is>
          <t>Mật độ phòng cao nhất danh mục. Giá khoán 5,5 tr/phòng</t>
        </is>
      </c>
    </row>
    <row r="7">
      <c r="A7" s="19" t="n">
        <v>3</v>
      </c>
      <c r="B7" s="12" t="inlineStr">
        <is>
          <t>Tứ Hải</t>
        </is>
      </c>
      <c r="C7" s="19" t="inlineStr">
        <is>
          <t>Tân Bình</t>
        </is>
      </c>
      <c r="D7" s="19" t="inlineStr">
        <is>
          <t>Trung tâm</t>
        </is>
      </c>
      <c r="E7" s="20" t="n">
        <v>19</v>
      </c>
      <c r="F7" s="20" t="n">
        <v>23</v>
      </c>
      <c r="G7" s="40" t="n">
        <v>21.9</v>
      </c>
      <c r="H7" s="22">
        <f>E7*'GIẢ ĐỊNH'!$C$5</f>
        <v/>
      </c>
      <c r="I7" s="14" t="inlineStr">
        <is>
          <t>ĐANG HOÀN THIỆN — cần kế hoạch lấp đầy trước ngày bàn giao</t>
        </is>
      </c>
    </row>
    <row r="8">
      <c r="A8" s="19" t="n">
        <v>4</v>
      </c>
      <c r="B8" s="12" t="inlineStr">
        <is>
          <t>Phó Cơ Điều</t>
        </is>
      </c>
      <c r="C8" s="19" t="inlineStr">
        <is>
          <t>Q.5</t>
        </is>
      </c>
      <c r="D8" s="19" t="inlineStr">
        <is>
          <t>Trung tâm</t>
        </is>
      </c>
      <c r="E8" s="20" t="n">
        <v>26</v>
      </c>
      <c r="F8" s="20" t="n">
        <v>38</v>
      </c>
      <c r="G8" s="40" t="n">
        <v>27</v>
      </c>
      <c r="H8" s="22">
        <f>E8*'GIẢ ĐỊNH'!$C$5</f>
        <v/>
      </c>
      <c r="I8" s="14" t="inlineStr">
        <is>
          <t>Giá khoán tạm tính 5,5 tr/phòng. GĐ2 tăng mạnh nhất (+12)</t>
        </is>
      </c>
    </row>
    <row r="9">
      <c r="A9" s="19" t="n">
        <v>5</v>
      </c>
      <c r="B9" s="12" t="inlineStr">
        <is>
          <t>Khuông Việt</t>
        </is>
      </c>
      <c r="C9" s="19" t="inlineStr">
        <is>
          <t>Tân Phú</t>
        </is>
      </c>
      <c r="D9" s="19" t="inlineStr">
        <is>
          <t>Tân Phú</t>
        </is>
      </c>
      <c r="E9" s="20" t="n">
        <v>15</v>
      </c>
      <c r="F9" s="20" t="n">
        <v>20</v>
      </c>
      <c r="G9" s="40" t="n">
        <v>13.35</v>
      </c>
      <c r="H9" s="22">
        <f>E9*'GIẢ ĐỊNH'!$C$5</f>
        <v/>
      </c>
      <c r="I9" s="14" t="inlineStr">
        <is>
          <t>Mô hình vốn nhẹ, dễ nhân bản. Giá TB ~4,6 tr/phòng</t>
        </is>
      </c>
    </row>
    <row r="10">
      <c r="A10" s="19" t="n">
        <v>6</v>
      </c>
      <c r="B10" s="12" t="inlineStr">
        <is>
          <t>Gò Dầu</t>
        </is>
      </c>
      <c r="C10" s="19" t="inlineStr">
        <is>
          <t>Tân Phú</t>
        </is>
      </c>
      <c r="D10" s="19" t="inlineStr">
        <is>
          <t>Tân Phú</t>
        </is>
      </c>
      <c r="E10" s="20" t="n">
        <v>17</v>
      </c>
      <c r="F10" s="20" t="n">
        <v>23</v>
      </c>
      <c r="G10" s="40" t="n">
        <v>20</v>
      </c>
      <c r="H10" s="22">
        <f>E10*'GIẢ ĐỊNH'!$C$5</f>
        <v/>
      </c>
      <c r="I10" s="14" t="inlineStr">
        <is>
          <t>DT GĐ1 102 tr/tháng → GĐ2 138 tr/tháng. Giá khoán 6 tr</t>
        </is>
      </c>
    </row>
    <row r="11">
      <c r="A11" s="19" t="n">
        <v>7</v>
      </c>
      <c r="B11" s="12" t="inlineStr">
        <is>
          <t>Lê Thị Nho</t>
        </is>
      </c>
      <c r="C11" s="19" t="inlineStr">
        <is>
          <t>Q.12</t>
        </is>
      </c>
      <c r="D11" s="19" t="inlineStr">
        <is>
          <t>Lê Thị Nho</t>
        </is>
      </c>
      <c r="E11" s="20" t="n">
        <v>19</v>
      </c>
      <c r="F11" s="20" t="n">
        <v>23</v>
      </c>
      <c r="G11" s="40" t="n">
        <v>22</v>
      </c>
      <c r="H11" s="22">
        <f>E11*'GIẢ ĐỊNH'!$C$5</f>
        <v/>
      </c>
      <c r="I11" s="14" t="inlineStr">
        <is>
          <t>Đa dòng thu: 13 căn hộ + 1 mặt bằng + 5 Sleepbox = 157 tr/tháng</t>
        </is>
      </c>
    </row>
    <row r="12">
      <c r="A12" s="19" t="n">
        <v>8</v>
      </c>
      <c r="B12" s="12" t="inlineStr">
        <is>
          <t>Đỗ Thừa Luông</t>
        </is>
      </c>
      <c r="C12" s="19" t="inlineStr">
        <is>
          <t>Tân Phú</t>
        </is>
      </c>
      <c r="D12" s="19" t="inlineStr">
        <is>
          <t>Tân Phú</t>
        </is>
      </c>
      <c r="E12" s="41" t="n"/>
      <c r="F12" s="41" t="n"/>
      <c r="G12" s="40" t="n">
        <v>28.5</v>
      </c>
      <c r="H12" s="22">
        <f>E12*'GIẢ ĐỊNH'!$C$5</f>
        <v/>
      </c>
      <c r="I12" s="42" t="inlineStr">
        <is>
          <t>THIẾU DỮ LIỆU — hồ sơ danh mục không có phương án khai thác. Trưởng cụm Tân Phú chốt trong 7 ngày.</t>
        </is>
      </c>
    </row>
    <row r="13">
      <c r="A13" s="24" t="n"/>
      <c r="B13" s="43" t="inlineStr">
        <is>
          <t>TỔNG 8 TOÀ</t>
        </is>
      </c>
      <c r="C13" s="24" t="n"/>
      <c r="D13" s="24" t="n"/>
      <c r="E13" s="44">
        <f>SUM(E5:E12)</f>
        <v/>
      </c>
      <c r="F13" s="44">
        <f>SUM(F5:F12)</f>
        <v/>
      </c>
      <c r="G13" s="45">
        <f>SUM(G5:G12)</f>
        <v/>
      </c>
      <c r="H13" s="25">
        <f>SUM(H5:H12)</f>
        <v/>
      </c>
      <c r="I13" s="46" t="inlineStr">
        <is>
          <t>Tổng hiện chưa gồm Đỗ Thừa Luông vì thiếu số phòng.</t>
        </is>
      </c>
    </row>
    <row r="15">
      <c r="B15" s="3" t="inlineStr">
        <is>
          <t>TOÀ DỰ KIẾN THÊM</t>
        </is>
      </c>
    </row>
    <row r="16">
      <c r="A16" s="27" t="n"/>
      <c r="B16" s="12" t="inlineStr">
        <is>
          <t>Năm 2026</t>
        </is>
      </c>
      <c r="C16" s="27" t="n"/>
      <c r="D16" s="27" t="n"/>
      <c r="E16" s="20" t="n">
        <v>0</v>
      </c>
      <c r="F16" s="27" t="n"/>
      <c r="G16" s="27" t="n"/>
      <c r="H16" s="27" t="n"/>
      <c r="I16" s="14" t="inlineStr">
        <is>
          <t>Không thêm toà nào. Dồn toàn lực lấp 40 phòng trống — rẻ hơn và nhanh hơn mọi toà mới.</t>
        </is>
      </c>
    </row>
    <row r="17">
      <c r="A17" s="27" t="n"/>
      <c r="B17" s="12" t="inlineStr">
        <is>
          <t>Năm 2027</t>
        </is>
      </c>
      <c r="C17" s="27" t="n"/>
      <c r="D17" s="27" t="n"/>
      <c r="E17" s="20" t="n">
        <v>1</v>
      </c>
      <c r="F17" s="27" t="n"/>
      <c r="G17" s="27" t="n"/>
      <c r="H17" s="27" t="n"/>
      <c r="I17" s="14" t="inlineStr">
        <is>
          <t>Nhận vận hành hộ 1 toà (~20 đơn vị). Thu phí 9%, không cần vốn.</t>
        </is>
      </c>
    </row>
    <row r="18">
      <c r="A18" s="27" t="n"/>
      <c r="B18" s="12" t="inlineStr">
        <is>
          <t>Năm 2028</t>
        </is>
      </c>
      <c r="C18" s="27" t="n"/>
      <c r="D18" s="27" t="n"/>
      <c r="E18" s="20" t="n">
        <v>4</v>
      </c>
      <c r="F18" s="27" t="n"/>
      <c r="G18" s="27" t="n"/>
      <c r="H18" s="27" t="n"/>
      <c r="I18" s="14" t="inlineStr">
        <is>
          <t>4 toà × 21 đơn vị = 84 đơn vị. Toà thứ 4 là toà đóng nốt khoảng cách tới 5 tỷ.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3" customWidth="1" min="5" max="5"/>
    <col width="13" customWidth="1" min="6" max="6"/>
    <col width="17" customWidth="1" min="7" max="7"/>
    <col width="17" customWidth="1" min="8" max="8"/>
    <col width="10" customWidth="1" min="9" max="9"/>
    <col width="15" customWidth="1" min="10" max="10"/>
    <col width="16" customWidth="1" min="11" max="11"/>
    <col width="10" customWidth="1" min="12" max="12"/>
    <col width="13" customWidth="1" min="13" max="13"/>
  </cols>
  <sheetData>
    <row r="1" ht="22" customHeight="1">
      <c r="A1" s="1" t="inlineStr">
        <is>
          <t>SỔ THEO DÕI THÁNG — 4 CHỈ SỐ VẬN HÀNH</t>
        </is>
      </c>
    </row>
    <row r="2">
      <c r="A2" s="2" t="inlineStr">
        <is>
          <t>Trưởng toà điền 4 cột XANH DƯƠNG (E, F, G, H). Năm cột còn lại tự tính. Nộp ngày 1 và ngày 15 hằng tháng, kể cả tháng xấu.</t>
        </is>
      </c>
    </row>
    <row r="4" ht="34" customHeight="1">
      <c r="A4" s="39" t="inlineStr">
        <is>
          <t>Kỳ</t>
        </is>
      </c>
      <c r="B4" s="39" t="inlineStr">
        <is>
          <t>Toà nhà</t>
        </is>
      </c>
      <c r="C4" s="39" t="inlineStr">
        <is>
          <t>Cụm</t>
        </is>
      </c>
      <c r="D4" s="39" t="inlineStr">
        <is>
          <t>Trưởng toà</t>
        </is>
      </c>
      <c r="E4" s="39" t="inlineStr">
        <is>
          <t>Đơn vị khả dụng</t>
        </is>
      </c>
      <c r="F4" s="39" t="inlineStr">
        <is>
          <t>Đơn vị có khách</t>
        </is>
      </c>
      <c r="G4" s="39" t="inlineStr">
        <is>
          <t>Doanh thu (đ)</t>
        </is>
      </c>
      <c r="H4" s="39" t="inlineStr">
        <is>
          <t>Chi phí trực tiếp (đ)</t>
        </is>
      </c>
      <c r="I4" s="39" t="inlineStr">
        <is>
          <t>Lấp đầy</t>
        </is>
      </c>
      <c r="J4" s="39" t="inlineStr">
        <is>
          <t>DT / đơn vị (đ)</t>
        </is>
      </c>
      <c r="K4" s="39" t="inlineStr">
        <is>
          <t>NOI (đ)</t>
        </is>
      </c>
      <c r="L4" s="39" t="inlineStr">
        <is>
          <t>Biên NOI</t>
        </is>
      </c>
      <c r="M4" s="39" t="inlineStr">
        <is>
          <t>Đạt lấp đầy?</t>
        </is>
      </c>
    </row>
    <row r="5">
      <c r="A5" s="19" t="inlineStr">
        <is>
          <t>T09/2026</t>
        </is>
      </c>
      <c r="B5" s="19" t="inlineStr">
        <is>
          <t>Điện Biên Phủ</t>
        </is>
      </c>
      <c r="C5" s="19" t="inlineStr">
        <is>
          <t>Trung tâm</t>
        </is>
      </c>
      <c r="D5" s="47" t="inlineStr">
        <is>
          <t>(ví dụ)</t>
        </is>
      </c>
      <c r="E5" s="20" t="n">
        <v>19</v>
      </c>
      <c r="F5" s="20" t="n">
        <v>16</v>
      </c>
      <c r="G5" s="48" t="n">
        <v>84000000</v>
      </c>
      <c r="H5" s="48" t="n">
        <v>37800000</v>
      </c>
      <c r="I5" s="49">
        <f>IF(E5=0,"",F5/E5)</f>
        <v/>
      </c>
      <c r="J5" s="22">
        <f>IF(E5=0,"",G5/E5)</f>
        <v/>
      </c>
      <c r="K5" s="22">
        <f>IF(G5=0,"",G5-H5)</f>
        <v/>
      </c>
      <c r="L5" s="49">
        <f>IF(G5=0,"",(G5-H5)/G5)</f>
        <v/>
      </c>
      <c r="M5" s="50">
        <f>IF(E5=0,"",IF(I5&gt;='GIẢ ĐỊNH'!$C$8,"ĐẠT","CHƯA"))</f>
        <v/>
      </c>
    </row>
    <row r="6">
      <c r="A6" s="19" t="inlineStr">
        <is>
          <t>T09/2026</t>
        </is>
      </c>
      <c r="B6" s="19" t="inlineStr">
        <is>
          <t>Vườn Lài</t>
        </is>
      </c>
      <c r="C6" s="19" t="inlineStr">
        <is>
          <t>Tân Phú</t>
        </is>
      </c>
      <c r="D6" s="47" t="n"/>
      <c r="E6" s="20" t="n"/>
      <c r="F6" s="20" t="n"/>
      <c r="G6" s="48" t="n"/>
      <c r="H6" s="48" t="n"/>
      <c r="I6" s="49">
        <f>IF(E6=0,"",F6/E6)</f>
        <v/>
      </c>
      <c r="J6" s="22">
        <f>IF(E6=0,"",G6/E6)</f>
        <v/>
      </c>
      <c r="K6" s="22">
        <f>IF(G6=0,"",G6-H6)</f>
        <v/>
      </c>
      <c r="L6" s="49">
        <f>IF(G6=0,"",(G6-H6)/G6)</f>
        <v/>
      </c>
      <c r="M6" s="50">
        <f>IF(E6=0,"",IF(I6&gt;='GIẢ ĐỊNH'!$C$8,"ĐẠT","CHƯA"))</f>
        <v/>
      </c>
    </row>
    <row r="7">
      <c r="A7" s="19" t="inlineStr">
        <is>
          <t>T09/2026</t>
        </is>
      </c>
      <c r="B7" s="19" t="inlineStr">
        <is>
          <t>Tứ Hải</t>
        </is>
      </c>
      <c r="C7" s="19" t="inlineStr">
        <is>
          <t>Trung tâm</t>
        </is>
      </c>
      <c r="D7" s="47" t="n"/>
      <c r="E7" s="20" t="n"/>
      <c r="F7" s="20" t="n"/>
      <c r="G7" s="48" t="n"/>
      <c r="H7" s="48" t="n"/>
      <c r="I7" s="49">
        <f>IF(E7=0,"",F7/E7)</f>
        <v/>
      </c>
      <c r="J7" s="22">
        <f>IF(E7=0,"",G7/E7)</f>
        <v/>
      </c>
      <c r="K7" s="22">
        <f>IF(G7=0,"",G7-H7)</f>
        <v/>
      </c>
      <c r="L7" s="49">
        <f>IF(G7=0,"",(G7-H7)/G7)</f>
        <v/>
      </c>
      <c r="M7" s="50">
        <f>IF(E7=0,"",IF(I7&gt;='GIẢ ĐỊNH'!$C$8,"ĐẠT","CHƯA"))</f>
        <v/>
      </c>
    </row>
    <row r="8">
      <c r="A8" s="19" t="inlineStr">
        <is>
          <t>T09/2026</t>
        </is>
      </c>
      <c r="B8" s="19" t="inlineStr">
        <is>
          <t>Phó Cơ Điều</t>
        </is>
      </c>
      <c r="C8" s="19" t="inlineStr">
        <is>
          <t>Trung tâm</t>
        </is>
      </c>
      <c r="D8" s="47" t="n"/>
      <c r="E8" s="20" t="n"/>
      <c r="F8" s="20" t="n"/>
      <c r="G8" s="48" t="n"/>
      <c r="H8" s="48" t="n"/>
      <c r="I8" s="49">
        <f>IF(E8=0,"",F8/E8)</f>
        <v/>
      </c>
      <c r="J8" s="22">
        <f>IF(E8=0,"",G8/E8)</f>
        <v/>
      </c>
      <c r="K8" s="22">
        <f>IF(G8=0,"",G8-H8)</f>
        <v/>
      </c>
      <c r="L8" s="49">
        <f>IF(G8=0,"",(G8-H8)/G8)</f>
        <v/>
      </c>
      <c r="M8" s="50">
        <f>IF(E8=0,"",IF(I8&gt;='GIẢ ĐỊNH'!$C$8,"ĐẠT","CHƯA"))</f>
        <v/>
      </c>
    </row>
    <row r="9">
      <c r="A9" s="19" t="inlineStr">
        <is>
          <t>T09/2026</t>
        </is>
      </c>
      <c r="B9" s="19" t="inlineStr">
        <is>
          <t>Khuông Việt</t>
        </is>
      </c>
      <c r="C9" s="19" t="inlineStr">
        <is>
          <t>Tân Phú</t>
        </is>
      </c>
      <c r="D9" s="47" t="n"/>
      <c r="E9" s="20" t="n"/>
      <c r="F9" s="20" t="n"/>
      <c r="G9" s="48" t="n"/>
      <c r="H9" s="48" t="n"/>
      <c r="I9" s="49">
        <f>IF(E9=0,"",F9/E9)</f>
        <v/>
      </c>
      <c r="J9" s="22">
        <f>IF(E9=0,"",G9/E9)</f>
        <v/>
      </c>
      <c r="K9" s="22">
        <f>IF(G9=0,"",G9-H9)</f>
        <v/>
      </c>
      <c r="L9" s="49">
        <f>IF(G9=0,"",(G9-H9)/G9)</f>
        <v/>
      </c>
      <c r="M9" s="50">
        <f>IF(E9=0,"",IF(I9&gt;='GIẢ ĐỊNH'!$C$8,"ĐẠT","CHƯA"))</f>
        <v/>
      </c>
    </row>
    <row r="10">
      <c r="A10" s="19" t="inlineStr">
        <is>
          <t>T09/2026</t>
        </is>
      </c>
      <c r="B10" s="19" t="inlineStr">
        <is>
          <t>Gò Dầu</t>
        </is>
      </c>
      <c r="C10" s="19" t="inlineStr">
        <is>
          <t>Tân Phú</t>
        </is>
      </c>
      <c r="D10" s="47" t="n"/>
      <c r="E10" s="20" t="n"/>
      <c r="F10" s="20" t="n"/>
      <c r="G10" s="48" t="n"/>
      <c r="H10" s="48" t="n"/>
      <c r="I10" s="49">
        <f>IF(E10=0,"",F10/E10)</f>
        <v/>
      </c>
      <c r="J10" s="22">
        <f>IF(E10=0,"",G10/E10)</f>
        <v/>
      </c>
      <c r="K10" s="22">
        <f>IF(G10=0,"",G10-H10)</f>
        <v/>
      </c>
      <c r="L10" s="49">
        <f>IF(G10=0,"",(G10-H10)/G10)</f>
        <v/>
      </c>
      <c r="M10" s="50">
        <f>IF(E10=0,"",IF(I10&gt;='GIẢ ĐỊNH'!$C$8,"ĐẠT","CHƯA"))</f>
        <v/>
      </c>
    </row>
    <row r="11">
      <c r="A11" s="19" t="inlineStr">
        <is>
          <t>T09/2026</t>
        </is>
      </c>
      <c r="B11" s="19" t="inlineStr">
        <is>
          <t>Lê Thị Nho</t>
        </is>
      </c>
      <c r="C11" s="19" t="inlineStr">
        <is>
          <t>Lê Thị Nho</t>
        </is>
      </c>
      <c r="D11" s="47" t="n"/>
      <c r="E11" s="20" t="n"/>
      <c r="F11" s="20" t="n"/>
      <c r="G11" s="48" t="n"/>
      <c r="H11" s="48" t="n"/>
      <c r="I11" s="49">
        <f>IF(E11=0,"",F11/E11)</f>
        <v/>
      </c>
      <c r="J11" s="22">
        <f>IF(E11=0,"",G11/E11)</f>
        <v/>
      </c>
      <c r="K11" s="22">
        <f>IF(G11=0,"",G11-H11)</f>
        <v/>
      </c>
      <c r="L11" s="49">
        <f>IF(G11=0,"",(G11-H11)/G11)</f>
        <v/>
      </c>
      <c r="M11" s="50">
        <f>IF(E11=0,"",IF(I11&gt;='GIẢ ĐỊNH'!$C$8,"ĐẠT","CHƯA"))</f>
        <v/>
      </c>
    </row>
    <row r="12">
      <c r="A12" s="19" t="inlineStr">
        <is>
          <t>T09/2026</t>
        </is>
      </c>
      <c r="B12" s="19" t="inlineStr">
        <is>
          <t>Đỗ Thừa Luông</t>
        </is>
      </c>
      <c r="C12" s="19" t="inlineStr">
        <is>
          <t>Tân Phú</t>
        </is>
      </c>
      <c r="D12" s="47" t="n"/>
      <c r="E12" s="20" t="n"/>
      <c r="F12" s="20" t="n"/>
      <c r="G12" s="48" t="n"/>
      <c r="H12" s="48" t="n"/>
      <c r="I12" s="49">
        <f>IF(E12=0,"",F12/E12)</f>
        <v/>
      </c>
      <c r="J12" s="22">
        <f>IF(E12=0,"",G12/E12)</f>
        <v/>
      </c>
      <c r="K12" s="22">
        <f>IF(G12=0,"",G12-H12)</f>
        <v/>
      </c>
      <c r="L12" s="49">
        <f>IF(G12=0,"",(G12-H12)/G12)</f>
        <v/>
      </c>
      <c r="M12" s="50">
        <f>IF(E12=0,"",IF(I12&gt;='GIẢ ĐỊNH'!$C$8,"ĐẠT","CHƯA"))</f>
        <v/>
      </c>
    </row>
    <row r="13">
      <c r="A13" s="19" t="inlineStr">
        <is>
          <t>T10/2026</t>
        </is>
      </c>
      <c r="B13" s="19" t="inlineStr">
        <is>
          <t>Điện Biên Phủ</t>
        </is>
      </c>
      <c r="C13" s="19" t="inlineStr">
        <is>
          <t>Trung tâm</t>
        </is>
      </c>
      <c r="D13" s="47" t="n"/>
      <c r="E13" s="20" t="n"/>
      <c r="F13" s="20" t="n"/>
      <c r="G13" s="48" t="n"/>
      <c r="H13" s="48" t="n"/>
      <c r="I13" s="49">
        <f>IF(E13=0,"",F13/E13)</f>
        <v/>
      </c>
      <c r="J13" s="22">
        <f>IF(E13=0,"",G13/E13)</f>
        <v/>
      </c>
      <c r="K13" s="22">
        <f>IF(G13=0,"",G13-H13)</f>
        <v/>
      </c>
      <c r="L13" s="49">
        <f>IF(G13=0,"",(G13-H13)/G13)</f>
        <v/>
      </c>
      <c r="M13" s="50">
        <f>IF(E13=0,"",IF(I13&gt;='GIẢ ĐỊNH'!$C$8,"ĐẠT","CHƯA"))</f>
        <v/>
      </c>
    </row>
    <row r="14">
      <c r="A14" s="19" t="inlineStr">
        <is>
          <t>T10/2026</t>
        </is>
      </c>
      <c r="B14" s="19" t="inlineStr">
        <is>
          <t>Vườn Lài</t>
        </is>
      </c>
      <c r="C14" s="19" t="inlineStr">
        <is>
          <t>Tân Phú</t>
        </is>
      </c>
      <c r="D14" s="47" t="n"/>
      <c r="E14" s="20" t="n"/>
      <c r="F14" s="20" t="n"/>
      <c r="G14" s="48" t="n"/>
      <c r="H14" s="48" t="n"/>
      <c r="I14" s="49">
        <f>IF(E14=0,"",F14/E14)</f>
        <v/>
      </c>
      <c r="J14" s="22">
        <f>IF(E14=0,"",G14/E14)</f>
        <v/>
      </c>
      <c r="K14" s="22">
        <f>IF(G14=0,"",G14-H14)</f>
        <v/>
      </c>
      <c r="L14" s="49">
        <f>IF(G14=0,"",(G14-H14)/G14)</f>
        <v/>
      </c>
      <c r="M14" s="50">
        <f>IF(E14=0,"",IF(I14&gt;='GIẢ ĐỊNH'!$C$8,"ĐẠT","CHƯA"))</f>
        <v/>
      </c>
    </row>
    <row r="15">
      <c r="A15" s="19" t="inlineStr">
        <is>
          <t>T10/2026</t>
        </is>
      </c>
      <c r="B15" s="19" t="inlineStr">
        <is>
          <t>Tứ Hải</t>
        </is>
      </c>
      <c r="C15" s="19" t="inlineStr">
        <is>
          <t>Trung tâm</t>
        </is>
      </c>
      <c r="D15" s="47" t="n"/>
      <c r="E15" s="20" t="n"/>
      <c r="F15" s="20" t="n"/>
      <c r="G15" s="48" t="n"/>
      <c r="H15" s="48" t="n"/>
      <c r="I15" s="49">
        <f>IF(E15=0,"",F15/E15)</f>
        <v/>
      </c>
      <c r="J15" s="22">
        <f>IF(E15=0,"",G15/E15)</f>
        <v/>
      </c>
      <c r="K15" s="22">
        <f>IF(G15=0,"",G15-H15)</f>
        <v/>
      </c>
      <c r="L15" s="49">
        <f>IF(G15=0,"",(G15-H15)/G15)</f>
        <v/>
      </c>
      <c r="M15" s="50">
        <f>IF(E15=0,"",IF(I15&gt;='GIẢ ĐỊNH'!$C$8,"ĐẠT","CHƯA"))</f>
        <v/>
      </c>
    </row>
    <row r="16">
      <c r="A16" s="19" t="inlineStr">
        <is>
          <t>T10/2026</t>
        </is>
      </c>
      <c r="B16" s="19" t="inlineStr">
        <is>
          <t>Phó Cơ Điều</t>
        </is>
      </c>
      <c r="C16" s="19" t="inlineStr">
        <is>
          <t>Trung tâm</t>
        </is>
      </c>
      <c r="D16" s="47" t="n"/>
      <c r="E16" s="20" t="n"/>
      <c r="F16" s="20" t="n"/>
      <c r="G16" s="48" t="n"/>
      <c r="H16" s="48" t="n"/>
      <c r="I16" s="49">
        <f>IF(E16=0,"",F16/E16)</f>
        <v/>
      </c>
      <c r="J16" s="22">
        <f>IF(E16=0,"",G16/E16)</f>
        <v/>
      </c>
      <c r="K16" s="22">
        <f>IF(G16=0,"",G16-H16)</f>
        <v/>
      </c>
      <c r="L16" s="49">
        <f>IF(G16=0,"",(G16-H16)/G16)</f>
        <v/>
      </c>
      <c r="M16" s="50">
        <f>IF(E16=0,"",IF(I16&gt;='GIẢ ĐỊNH'!$C$8,"ĐẠT","CHƯA"))</f>
        <v/>
      </c>
    </row>
    <row r="17">
      <c r="A17" s="19" t="inlineStr">
        <is>
          <t>T10/2026</t>
        </is>
      </c>
      <c r="B17" s="19" t="inlineStr">
        <is>
          <t>Khuông Việt</t>
        </is>
      </c>
      <c r="C17" s="19" t="inlineStr">
        <is>
          <t>Tân Phú</t>
        </is>
      </c>
      <c r="D17" s="47" t="n"/>
      <c r="E17" s="20" t="n"/>
      <c r="F17" s="20" t="n"/>
      <c r="G17" s="48" t="n"/>
      <c r="H17" s="48" t="n"/>
      <c r="I17" s="49">
        <f>IF(E17=0,"",F17/E17)</f>
        <v/>
      </c>
      <c r="J17" s="22">
        <f>IF(E17=0,"",G17/E17)</f>
        <v/>
      </c>
      <c r="K17" s="22">
        <f>IF(G17=0,"",G17-H17)</f>
        <v/>
      </c>
      <c r="L17" s="49">
        <f>IF(G17=0,"",(G17-H17)/G17)</f>
        <v/>
      </c>
      <c r="M17" s="50">
        <f>IF(E17=0,"",IF(I17&gt;='GIẢ ĐỊNH'!$C$8,"ĐẠT","CHƯA"))</f>
        <v/>
      </c>
    </row>
    <row r="18">
      <c r="A18" s="19" t="inlineStr">
        <is>
          <t>T10/2026</t>
        </is>
      </c>
      <c r="B18" s="19" t="inlineStr">
        <is>
          <t>Gò Dầu</t>
        </is>
      </c>
      <c r="C18" s="19" t="inlineStr">
        <is>
          <t>Tân Phú</t>
        </is>
      </c>
      <c r="D18" s="47" t="n"/>
      <c r="E18" s="20" t="n"/>
      <c r="F18" s="20" t="n"/>
      <c r="G18" s="48" t="n"/>
      <c r="H18" s="48" t="n"/>
      <c r="I18" s="49">
        <f>IF(E18=0,"",F18/E18)</f>
        <v/>
      </c>
      <c r="J18" s="22">
        <f>IF(E18=0,"",G18/E18)</f>
        <v/>
      </c>
      <c r="K18" s="22">
        <f>IF(G18=0,"",G18-H18)</f>
        <v/>
      </c>
      <c r="L18" s="49">
        <f>IF(G18=0,"",(G18-H18)/G18)</f>
        <v/>
      </c>
      <c r="M18" s="50">
        <f>IF(E18=0,"",IF(I18&gt;='GIẢ ĐỊNH'!$C$8,"ĐẠT","CHƯA"))</f>
        <v/>
      </c>
    </row>
    <row r="19">
      <c r="A19" s="19" t="inlineStr">
        <is>
          <t>T10/2026</t>
        </is>
      </c>
      <c r="B19" s="19" t="inlineStr">
        <is>
          <t>Lê Thị Nho</t>
        </is>
      </c>
      <c r="C19" s="19" t="inlineStr">
        <is>
          <t>Lê Thị Nho</t>
        </is>
      </c>
      <c r="D19" s="47" t="n"/>
      <c r="E19" s="20" t="n"/>
      <c r="F19" s="20" t="n"/>
      <c r="G19" s="48" t="n"/>
      <c r="H19" s="48" t="n"/>
      <c r="I19" s="49">
        <f>IF(E19=0,"",F19/E19)</f>
        <v/>
      </c>
      <c r="J19" s="22">
        <f>IF(E19=0,"",G19/E19)</f>
        <v/>
      </c>
      <c r="K19" s="22">
        <f>IF(G19=0,"",G19-H19)</f>
        <v/>
      </c>
      <c r="L19" s="49">
        <f>IF(G19=0,"",(G19-H19)/G19)</f>
        <v/>
      </c>
      <c r="M19" s="50">
        <f>IF(E19=0,"",IF(I19&gt;='GIẢ ĐỊNH'!$C$8,"ĐẠT","CHƯA"))</f>
        <v/>
      </c>
    </row>
    <row r="20">
      <c r="A20" s="19" t="inlineStr">
        <is>
          <t>T10/2026</t>
        </is>
      </c>
      <c r="B20" s="19" t="inlineStr">
        <is>
          <t>Đỗ Thừa Luông</t>
        </is>
      </c>
      <c r="C20" s="19" t="inlineStr">
        <is>
          <t>Tân Phú</t>
        </is>
      </c>
      <c r="D20" s="47" t="n"/>
      <c r="E20" s="20" t="n"/>
      <c r="F20" s="20" t="n"/>
      <c r="G20" s="48" t="n"/>
      <c r="H20" s="48" t="n"/>
      <c r="I20" s="49">
        <f>IF(E20=0,"",F20/E20)</f>
        <v/>
      </c>
      <c r="J20" s="22">
        <f>IF(E20=0,"",G20/E20)</f>
        <v/>
      </c>
      <c r="K20" s="22">
        <f>IF(G20=0,"",G20-H20)</f>
        <v/>
      </c>
      <c r="L20" s="49">
        <f>IF(G20=0,"",(G20-H20)/G20)</f>
        <v/>
      </c>
      <c r="M20" s="50">
        <f>IF(E20=0,"",IF(I20&gt;='GIẢ ĐỊNH'!$C$8,"ĐẠT","CHƯA"))</f>
        <v/>
      </c>
    </row>
    <row r="21">
      <c r="A21" s="19" t="inlineStr">
        <is>
          <t>T11/2026</t>
        </is>
      </c>
      <c r="B21" s="19" t="inlineStr">
        <is>
          <t>Điện Biên Phủ</t>
        </is>
      </c>
      <c r="C21" s="19" t="inlineStr">
        <is>
          <t>Trung tâm</t>
        </is>
      </c>
      <c r="D21" s="47" t="n"/>
      <c r="E21" s="20" t="n"/>
      <c r="F21" s="20" t="n"/>
      <c r="G21" s="48" t="n"/>
      <c r="H21" s="48" t="n"/>
      <c r="I21" s="49">
        <f>IF(E21=0,"",F21/E21)</f>
        <v/>
      </c>
      <c r="J21" s="22">
        <f>IF(E21=0,"",G21/E21)</f>
        <v/>
      </c>
      <c r="K21" s="22">
        <f>IF(G21=0,"",G21-H21)</f>
        <v/>
      </c>
      <c r="L21" s="49">
        <f>IF(G21=0,"",(G21-H21)/G21)</f>
        <v/>
      </c>
      <c r="M21" s="50">
        <f>IF(E21=0,"",IF(I21&gt;='GIẢ ĐỊNH'!$C$8,"ĐẠT","CHƯA"))</f>
        <v/>
      </c>
    </row>
    <row r="22">
      <c r="A22" s="19" t="inlineStr">
        <is>
          <t>T11/2026</t>
        </is>
      </c>
      <c r="B22" s="19" t="inlineStr">
        <is>
          <t>Vườn Lài</t>
        </is>
      </c>
      <c r="C22" s="19" t="inlineStr">
        <is>
          <t>Tân Phú</t>
        </is>
      </c>
      <c r="D22" s="47" t="n"/>
      <c r="E22" s="20" t="n"/>
      <c r="F22" s="20" t="n"/>
      <c r="G22" s="48" t="n"/>
      <c r="H22" s="48" t="n"/>
      <c r="I22" s="49">
        <f>IF(E22=0,"",F22/E22)</f>
        <v/>
      </c>
      <c r="J22" s="22">
        <f>IF(E22=0,"",G22/E22)</f>
        <v/>
      </c>
      <c r="K22" s="22">
        <f>IF(G22=0,"",G22-H22)</f>
        <v/>
      </c>
      <c r="L22" s="49">
        <f>IF(G22=0,"",(G22-H22)/G22)</f>
        <v/>
      </c>
      <c r="M22" s="50">
        <f>IF(E22=0,"",IF(I22&gt;='GIẢ ĐỊNH'!$C$8,"ĐẠT","CHƯA"))</f>
        <v/>
      </c>
    </row>
    <row r="23">
      <c r="A23" s="19" t="inlineStr">
        <is>
          <t>T11/2026</t>
        </is>
      </c>
      <c r="B23" s="19" t="inlineStr">
        <is>
          <t>Tứ Hải</t>
        </is>
      </c>
      <c r="C23" s="19" t="inlineStr">
        <is>
          <t>Trung tâm</t>
        </is>
      </c>
      <c r="D23" s="47" t="n"/>
      <c r="E23" s="20" t="n"/>
      <c r="F23" s="20" t="n"/>
      <c r="G23" s="48" t="n"/>
      <c r="H23" s="48" t="n"/>
      <c r="I23" s="49">
        <f>IF(E23=0,"",F23/E23)</f>
        <v/>
      </c>
      <c r="J23" s="22">
        <f>IF(E23=0,"",G23/E23)</f>
        <v/>
      </c>
      <c r="K23" s="22">
        <f>IF(G23=0,"",G23-H23)</f>
        <v/>
      </c>
      <c r="L23" s="49">
        <f>IF(G23=0,"",(G23-H23)/G23)</f>
        <v/>
      </c>
      <c r="M23" s="50">
        <f>IF(E23=0,"",IF(I23&gt;='GIẢ ĐỊNH'!$C$8,"ĐẠT","CHƯA"))</f>
        <v/>
      </c>
    </row>
    <row r="24">
      <c r="A24" s="19" t="inlineStr">
        <is>
          <t>T11/2026</t>
        </is>
      </c>
      <c r="B24" s="19" t="inlineStr">
        <is>
          <t>Phó Cơ Điều</t>
        </is>
      </c>
      <c r="C24" s="19" t="inlineStr">
        <is>
          <t>Trung tâm</t>
        </is>
      </c>
      <c r="D24" s="47" t="n"/>
      <c r="E24" s="20" t="n"/>
      <c r="F24" s="20" t="n"/>
      <c r="G24" s="48" t="n"/>
      <c r="H24" s="48" t="n"/>
      <c r="I24" s="49">
        <f>IF(E24=0,"",F24/E24)</f>
        <v/>
      </c>
      <c r="J24" s="22">
        <f>IF(E24=0,"",G24/E24)</f>
        <v/>
      </c>
      <c r="K24" s="22">
        <f>IF(G24=0,"",G24-H24)</f>
        <v/>
      </c>
      <c r="L24" s="49">
        <f>IF(G24=0,"",(G24-H24)/G24)</f>
        <v/>
      </c>
      <c r="M24" s="50">
        <f>IF(E24=0,"",IF(I24&gt;='GIẢ ĐỊNH'!$C$8,"ĐẠT","CHƯA"))</f>
        <v/>
      </c>
    </row>
    <row r="25">
      <c r="A25" s="19" t="inlineStr">
        <is>
          <t>T11/2026</t>
        </is>
      </c>
      <c r="B25" s="19" t="inlineStr">
        <is>
          <t>Khuông Việt</t>
        </is>
      </c>
      <c r="C25" s="19" t="inlineStr">
        <is>
          <t>Tân Phú</t>
        </is>
      </c>
      <c r="D25" s="47" t="n"/>
      <c r="E25" s="20" t="n"/>
      <c r="F25" s="20" t="n"/>
      <c r="G25" s="48" t="n"/>
      <c r="H25" s="48" t="n"/>
      <c r="I25" s="49">
        <f>IF(E25=0,"",F25/E25)</f>
        <v/>
      </c>
      <c r="J25" s="22">
        <f>IF(E25=0,"",G25/E25)</f>
        <v/>
      </c>
      <c r="K25" s="22">
        <f>IF(G25=0,"",G25-H25)</f>
        <v/>
      </c>
      <c r="L25" s="49">
        <f>IF(G25=0,"",(G25-H25)/G25)</f>
        <v/>
      </c>
      <c r="M25" s="50">
        <f>IF(E25=0,"",IF(I25&gt;='GIẢ ĐỊNH'!$C$8,"ĐẠT","CHƯA"))</f>
        <v/>
      </c>
    </row>
    <row r="26">
      <c r="A26" s="19" t="inlineStr">
        <is>
          <t>T11/2026</t>
        </is>
      </c>
      <c r="B26" s="19" t="inlineStr">
        <is>
          <t>Gò Dầu</t>
        </is>
      </c>
      <c r="C26" s="19" t="inlineStr">
        <is>
          <t>Tân Phú</t>
        </is>
      </c>
      <c r="D26" s="47" t="n"/>
      <c r="E26" s="20" t="n"/>
      <c r="F26" s="20" t="n"/>
      <c r="G26" s="48" t="n"/>
      <c r="H26" s="48" t="n"/>
      <c r="I26" s="49">
        <f>IF(E26=0,"",F26/E26)</f>
        <v/>
      </c>
      <c r="J26" s="22">
        <f>IF(E26=0,"",G26/E26)</f>
        <v/>
      </c>
      <c r="K26" s="22">
        <f>IF(G26=0,"",G26-H26)</f>
        <v/>
      </c>
      <c r="L26" s="49">
        <f>IF(G26=0,"",(G26-H26)/G26)</f>
        <v/>
      </c>
      <c r="M26" s="50">
        <f>IF(E26=0,"",IF(I26&gt;='GIẢ ĐỊNH'!$C$8,"ĐẠT","CHƯA"))</f>
        <v/>
      </c>
    </row>
    <row r="27">
      <c r="A27" s="19" t="inlineStr">
        <is>
          <t>T11/2026</t>
        </is>
      </c>
      <c r="B27" s="19" t="inlineStr">
        <is>
          <t>Lê Thị Nho</t>
        </is>
      </c>
      <c r="C27" s="19" t="inlineStr">
        <is>
          <t>Lê Thị Nho</t>
        </is>
      </c>
      <c r="D27" s="47" t="n"/>
      <c r="E27" s="20" t="n"/>
      <c r="F27" s="20" t="n"/>
      <c r="G27" s="48" t="n"/>
      <c r="H27" s="48" t="n"/>
      <c r="I27" s="49">
        <f>IF(E27=0,"",F27/E27)</f>
        <v/>
      </c>
      <c r="J27" s="22">
        <f>IF(E27=0,"",G27/E27)</f>
        <v/>
      </c>
      <c r="K27" s="22">
        <f>IF(G27=0,"",G27-H27)</f>
        <v/>
      </c>
      <c r="L27" s="49">
        <f>IF(G27=0,"",(G27-H27)/G27)</f>
        <v/>
      </c>
      <c r="M27" s="50">
        <f>IF(E27=0,"",IF(I27&gt;='GIẢ ĐỊNH'!$C$8,"ĐẠT","CHƯA"))</f>
        <v/>
      </c>
    </row>
    <row r="28">
      <c r="A28" s="19" t="inlineStr">
        <is>
          <t>T11/2026</t>
        </is>
      </c>
      <c r="B28" s="19" t="inlineStr">
        <is>
          <t>Đỗ Thừa Luông</t>
        </is>
      </c>
      <c r="C28" s="19" t="inlineStr">
        <is>
          <t>Tân Phú</t>
        </is>
      </c>
      <c r="D28" s="47" t="n"/>
      <c r="E28" s="20" t="n"/>
      <c r="F28" s="20" t="n"/>
      <c r="G28" s="48" t="n"/>
      <c r="H28" s="48" t="n"/>
      <c r="I28" s="49">
        <f>IF(E28=0,"",F28/E28)</f>
        <v/>
      </c>
      <c r="J28" s="22">
        <f>IF(E28=0,"",G28/E28)</f>
        <v/>
      </c>
      <c r="K28" s="22">
        <f>IF(G28=0,"",G28-H28)</f>
        <v/>
      </c>
      <c r="L28" s="49">
        <f>IF(G28=0,"",(G28-H28)/G28)</f>
        <v/>
      </c>
      <c r="M28" s="50">
        <f>IF(E28=0,"",IF(I28&gt;='GIẢ ĐỊNH'!$C$8,"ĐẠT","CHƯA"))</f>
        <v/>
      </c>
    </row>
    <row r="29">
      <c r="A29" s="19" t="inlineStr">
        <is>
          <t>T12/2026</t>
        </is>
      </c>
      <c r="B29" s="19" t="inlineStr">
        <is>
          <t>Điện Biên Phủ</t>
        </is>
      </c>
      <c r="C29" s="19" t="inlineStr">
        <is>
          <t>Trung tâm</t>
        </is>
      </c>
      <c r="D29" s="47" t="n"/>
      <c r="E29" s="20" t="n"/>
      <c r="F29" s="20" t="n"/>
      <c r="G29" s="48" t="n"/>
      <c r="H29" s="48" t="n"/>
      <c r="I29" s="49">
        <f>IF(E29=0,"",F29/E29)</f>
        <v/>
      </c>
      <c r="J29" s="22">
        <f>IF(E29=0,"",G29/E29)</f>
        <v/>
      </c>
      <c r="K29" s="22">
        <f>IF(G29=0,"",G29-H29)</f>
        <v/>
      </c>
      <c r="L29" s="49">
        <f>IF(G29=0,"",(G29-H29)/G29)</f>
        <v/>
      </c>
      <c r="M29" s="50">
        <f>IF(E29=0,"",IF(I29&gt;='GIẢ ĐỊNH'!$C$8,"ĐẠT","CHƯA"))</f>
        <v/>
      </c>
    </row>
    <row r="30">
      <c r="A30" s="19" t="inlineStr">
        <is>
          <t>T12/2026</t>
        </is>
      </c>
      <c r="B30" s="19" t="inlineStr">
        <is>
          <t>Vườn Lài</t>
        </is>
      </c>
      <c r="C30" s="19" t="inlineStr">
        <is>
          <t>Tân Phú</t>
        </is>
      </c>
      <c r="D30" s="47" t="n"/>
      <c r="E30" s="20" t="n"/>
      <c r="F30" s="20" t="n"/>
      <c r="G30" s="48" t="n"/>
      <c r="H30" s="48" t="n"/>
      <c r="I30" s="49">
        <f>IF(E30=0,"",F30/E30)</f>
        <v/>
      </c>
      <c r="J30" s="22">
        <f>IF(E30=0,"",G30/E30)</f>
        <v/>
      </c>
      <c r="K30" s="22">
        <f>IF(G30=0,"",G30-H30)</f>
        <v/>
      </c>
      <c r="L30" s="49">
        <f>IF(G30=0,"",(G30-H30)/G30)</f>
        <v/>
      </c>
      <c r="M30" s="50">
        <f>IF(E30=0,"",IF(I30&gt;='GIẢ ĐỊNH'!$C$8,"ĐẠT","CHƯA"))</f>
        <v/>
      </c>
    </row>
    <row r="31">
      <c r="A31" s="19" t="inlineStr">
        <is>
          <t>T12/2026</t>
        </is>
      </c>
      <c r="B31" s="19" t="inlineStr">
        <is>
          <t>Tứ Hải</t>
        </is>
      </c>
      <c r="C31" s="19" t="inlineStr">
        <is>
          <t>Trung tâm</t>
        </is>
      </c>
      <c r="D31" s="47" t="n"/>
      <c r="E31" s="20" t="n"/>
      <c r="F31" s="20" t="n"/>
      <c r="G31" s="48" t="n"/>
      <c r="H31" s="48" t="n"/>
      <c r="I31" s="49">
        <f>IF(E31=0,"",F31/E31)</f>
        <v/>
      </c>
      <c r="J31" s="22">
        <f>IF(E31=0,"",G31/E31)</f>
        <v/>
      </c>
      <c r="K31" s="22">
        <f>IF(G31=0,"",G31-H31)</f>
        <v/>
      </c>
      <c r="L31" s="49">
        <f>IF(G31=0,"",(G31-H31)/G31)</f>
        <v/>
      </c>
      <c r="M31" s="50">
        <f>IF(E31=0,"",IF(I31&gt;='GIẢ ĐỊNH'!$C$8,"ĐẠT","CHƯA"))</f>
        <v/>
      </c>
    </row>
    <row r="32">
      <c r="A32" s="19" t="inlineStr">
        <is>
          <t>T12/2026</t>
        </is>
      </c>
      <c r="B32" s="19" t="inlineStr">
        <is>
          <t>Phó Cơ Điều</t>
        </is>
      </c>
      <c r="C32" s="19" t="inlineStr">
        <is>
          <t>Trung tâm</t>
        </is>
      </c>
      <c r="D32" s="47" t="n"/>
      <c r="E32" s="20" t="n"/>
      <c r="F32" s="20" t="n"/>
      <c r="G32" s="48" t="n"/>
      <c r="H32" s="48" t="n"/>
      <c r="I32" s="49">
        <f>IF(E32=0,"",F32/E32)</f>
        <v/>
      </c>
      <c r="J32" s="22">
        <f>IF(E32=0,"",G32/E32)</f>
        <v/>
      </c>
      <c r="K32" s="22">
        <f>IF(G32=0,"",G32-H32)</f>
        <v/>
      </c>
      <c r="L32" s="49">
        <f>IF(G32=0,"",(G32-H32)/G32)</f>
        <v/>
      </c>
      <c r="M32" s="50">
        <f>IF(E32=0,"",IF(I32&gt;='GIẢ ĐỊNH'!$C$8,"ĐẠT","CHƯA"))</f>
        <v/>
      </c>
    </row>
    <row r="33">
      <c r="A33" s="19" t="inlineStr">
        <is>
          <t>T12/2026</t>
        </is>
      </c>
      <c r="B33" s="19" t="inlineStr">
        <is>
          <t>Khuông Việt</t>
        </is>
      </c>
      <c r="C33" s="19" t="inlineStr">
        <is>
          <t>Tân Phú</t>
        </is>
      </c>
      <c r="D33" s="47" t="n"/>
      <c r="E33" s="20" t="n"/>
      <c r="F33" s="20" t="n"/>
      <c r="G33" s="48" t="n"/>
      <c r="H33" s="48" t="n"/>
      <c r="I33" s="49">
        <f>IF(E33=0,"",F33/E33)</f>
        <v/>
      </c>
      <c r="J33" s="22">
        <f>IF(E33=0,"",G33/E33)</f>
        <v/>
      </c>
      <c r="K33" s="22">
        <f>IF(G33=0,"",G33-H33)</f>
        <v/>
      </c>
      <c r="L33" s="49">
        <f>IF(G33=0,"",(G33-H33)/G33)</f>
        <v/>
      </c>
      <c r="M33" s="50">
        <f>IF(E33=0,"",IF(I33&gt;='GIẢ ĐỊNH'!$C$8,"ĐẠT","CHƯA"))</f>
        <v/>
      </c>
    </row>
    <row r="34">
      <c r="A34" s="19" t="inlineStr">
        <is>
          <t>T12/2026</t>
        </is>
      </c>
      <c r="B34" s="19" t="inlineStr">
        <is>
          <t>Gò Dầu</t>
        </is>
      </c>
      <c r="C34" s="19" t="inlineStr">
        <is>
          <t>Tân Phú</t>
        </is>
      </c>
      <c r="D34" s="47" t="n"/>
      <c r="E34" s="20" t="n"/>
      <c r="F34" s="20" t="n"/>
      <c r="G34" s="48" t="n"/>
      <c r="H34" s="48" t="n"/>
      <c r="I34" s="49">
        <f>IF(E34=0,"",F34/E34)</f>
        <v/>
      </c>
      <c r="J34" s="22">
        <f>IF(E34=0,"",G34/E34)</f>
        <v/>
      </c>
      <c r="K34" s="22">
        <f>IF(G34=0,"",G34-H34)</f>
        <v/>
      </c>
      <c r="L34" s="49">
        <f>IF(G34=0,"",(G34-H34)/G34)</f>
        <v/>
      </c>
      <c r="M34" s="50">
        <f>IF(E34=0,"",IF(I34&gt;='GIẢ ĐỊNH'!$C$8,"ĐẠT","CHƯA"))</f>
        <v/>
      </c>
    </row>
    <row r="35">
      <c r="A35" s="19" t="inlineStr">
        <is>
          <t>T12/2026</t>
        </is>
      </c>
      <c r="B35" s="19" t="inlineStr">
        <is>
          <t>Lê Thị Nho</t>
        </is>
      </c>
      <c r="C35" s="19" t="inlineStr">
        <is>
          <t>Lê Thị Nho</t>
        </is>
      </c>
      <c r="D35" s="47" t="n"/>
      <c r="E35" s="20" t="n"/>
      <c r="F35" s="20" t="n"/>
      <c r="G35" s="48" t="n"/>
      <c r="H35" s="48" t="n"/>
      <c r="I35" s="49">
        <f>IF(E35=0,"",F35/E35)</f>
        <v/>
      </c>
      <c r="J35" s="22">
        <f>IF(E35=0,"",G35/E35)</f>
        <v/>
      </c>
      <c r="K35" s="22">
        <f>IF(G35=0,"",G35-H35)</f>
        <v/>
      </c>
      <c r="L35" s="49">
        <f>IF(G35=0,"",(G35-H35)/G35)</f>
        <v/>
      </c>
      <c r="M35" s="50">
        <f>IF(E35=0,"",IF(I35&gt;='GIẢ ĐỊNH'!$C$8,"ĐẠT","CHƯA"))</f>
        <v/>
      </c>
    </row>
    <row r="36">
      <c r="A36" s="19" t="inlineStr">
        <is>
          <t>T12/2026</t>
        </is>
      </c>
      <c r="B36" s="19" t="inlineStr">
        <is>
          <t>Đỗ Thừa Luông</t>
        </is>
      </c>
      <c r="C36" s="19" t="inlineStr">
        <is>
          <t>Tân Phú</t>
        </is>
      </c>
      <c r="D36" s="47" t="n"/>
      <c r="E36" s="20" t="n"/>
      <c r="F36" s="20" t="n"/>
      <c r="G36" s="48" t="n"/>
      <c r="H36" s="48" t="n"/>
      <c r="I36" s="49">
        <f>IF(E36=0,"",F36/E36)</f>
        <v/>
      </c>
      <c r="J36" s="22">
        <f>IF(E36=0,"",G36/E36)</f>
        <v/>
      </c>
      <c r="K36" s="22">
        <f>IF(G36=0,"",G36-H36)</f>
        <v/>
      </c>
      <c r="L36" s="49">
        <f>IF(G36=0,"",(G36-H36)/G36)</f>
        <v/>
      </c>
      <c r="M36" s="50">
        <f>IF(E36=0,"",IF(I36&gt;='GIẢ ĐỊNH'!$C$8,"ĐẠT","CHƯA"))</f>
        <v/>
      </c>
    </row>
    <row r="37">
      <c r="A37" s="19" t="inlineStr">
        <is>
          <t>T01/2027</t>
        </is>
      </c>
      <c r="B37" s="19" t="inlineStr">
        <is>
          <t>Điện Biên Phủ</t>
        </is>
      </c>
      <c r="C37" s="19" t="inlineStr">
        <is>
          <t>Trung tâm</t>
        </is>
      </c>
      <c r="D37" s="47" t="n"/>
      <c r="E37" s="20" t="n"/>
      <c r="F37" s="20" t="n"/>
      <c r="G37" s="48" t="n"/>
      <c r="H37" s="48" t="n"/>
      <c r="I37" s="49">
        <f>IF(E37=0,"",F37/E37)</f>
        <v/>
      </c>
      <c r="J37" s="22">
        <f>IF(E37=0,"",G37/E37)</f>
        <v/>
      </c>
      <c r="K37" s="22">
        <f>IF(G37=0,"",G37-H37)</f>
        <v/>
      </c>
      <c r="L37" s="49">
        <f>IF(G37=0,"",(G37-H37)/G37)</f>
        <v/>
      </c>
      <c r="M37" s="50">
        <f>IF(E37=0,"",IF(I37&gt;='GIẢ ĐỊNH'!$C$8,"ĐẠT","CHƯA"))</f>
        <v/>
      </c>
    </row>
    <row r="38">
      <c r="A38" s="19" t="inlineStr">
        <is>
          <t>T01/2027</t>
        </is>
      </c>
      <c r="B38" s="19" t="inlineStr">
        <is>
          <t>Vườn Lài</t>
        </is>
      </c>
      <c r="C38" s="19" t="inlineStr">
        <is>
          <t>Tân Phú</t>
        </is>
      </c>
      <c r="D38" s="47" t="n"/>
      <c r="E38" s="20" t="n"/>
      <c r="F38" s="20" t="n"/>
      <c r="G38" s="48" t="n"/>
      <c r="H38" s="48" t="n"/>
      <c r="I38" s="49">
        <f>IF(E38=0,"",F38/E38)</f>
        <v/>
      </c>
      <c r="J38" s="22">
        <f>IF(E38=0,"",G38/E38)</f>
        <v/>
      </c>
      <c r="K38" s="22">
        <f>IF(G38=0,"",G38-H38)</f>
        <v/>
      </c>
      <c r="L38" s="49">
        <f>IF(G38=0,"",(G38-H38)/G38)</f>
        <v/>
      </c>
      <c r="M38" s="50">
        <f>IF(E38=0,"",IF(I38&gt;='GIẢ ĐỊNH'!$C$8,"ĐẠT","CHƯA"))</f>
        <v/>
      </c>
    </row>
    <row r="39">
      <c r="A39" s="19" t="inlineStr">
        <is>
          <t>T01/2027</t>
        </is>
      </c>
      <c r="B39" s="19" t="inlineStr">
        <is>
          <t>Tứ Hải</t>
        </is>
      </c>
      <c r="C39" s="19" t="inlineStr">
        <is>
          <t>Trung tâm</t>
        </is>
      </c>
      <c r="D39" s="47" t="n"/>
      <c r="E39" s="20" t="n"/>
      <c r="F39" s="20" t="n"/>
      <c r="G39" s="48" t="n"/>
      <c r="H39" s="48" t="n"/>
      <c r="I39" s="49">
        <f>IF(E39=0,"",F39/E39)</f>
        <v/>
      </c>
      <c r="J39" s="22">
        <f>IF(E39=0,"",G39/E39)</f>
        <v/>
      </c>
      <c r="K39" s="22">
        <f>IF(G39=0,"",G39-H39)</f>
        <v/>
      </c>
      <c r="L39" s="49">
        <f>IF(G39=0,"",(G39-H39)/G39)</f>
        <v/>
      </c>
      <c r="M39" s="50">
        <f>IF(E39=0,"",IF(I39&gt;='GIẢ ĐỊNH'!$C$8,"ĐẠT","CHƯA"))</f>
        <v/>
      </c>
    </row>
    <row r="40">
      <c r="A40" s="19" t="inlineStr">
        <is>
          <t>T01/2027</t>
        </is>
      </c>
      <c r="B40" s="19" t="inlineStr">
        <is>
          <t>Phó Cơ Điều</t>
        </is>
      </c>
      <c r="C40" s="19" t="inlineStr">
        <is>
          <t>Trung tâm</t>
        </is>
      </c>
      <c r="D40" s="47" t="n"/>
      <c r="E40" s="20" t="n"/>
      <c r="F40" s="20" t="n"/>
      <c r="G40" s="48" t="n"/>
      <c r="H40" s="48" t="n"/>
      <c r="I40" s="49">
        <f>IF(E40=0,"",F40/E40)</f>
        <v/>
      </c>
      <c r="J40" s="22">
        <f>IF(E40=0,"",G40/E40)</f>
        <v/>
      </c>
      <c r="K40" s="22">
        <f>IF(G40=0,"",G40-H40)</f>
        <v/>
      </c>
      <c r="L40" s="49">
        <f>IF(G40=0,"",(G40-H40)/G40)</f>
        <v/>
      </c>
      <c r="M40" s="50">
        <f>IF(E40=0,"",IF(I40&gt;='GIẢ ĐỊNH'!$C$8,"ĐẠT","CHƯA"))</f>
        <v/>
      </c>
    </row>
    <row r="41">
      <c r="A41" s="19" t="inlineStr">
        <is>
          <t>T01/2027</t>
        </is>
      </c>
      <c r="B41" s="19" t="inlineStr">
        <is>
          <t>Khuông Việt</t>
        </is>
      </c>
      <c r="C41" s="19" t="inlineStr">
        <is>
          <t>Tân Phú</t>
        </is>
      </c>
      <c r="D41" s="47" t="n"/>
      <c r="E41" s="20" t="n"/>
      <c r="F41" s="20" t="n"/>
      <c r="G41" s="48" t="n"/>
      <c r="H41" s="48" t="n"/>
      <c r="I41" s="49">
        <f>IF(E41=0,"",F41/E41)</f>
        <v/>
      </c>
      <c r="J41" s="22">
        <f>IF(E41=0,"",G41/E41)</f>
        <v/>
      </c>
      <c r="K41" s="22">
        <f>IF(G41=0,"",G41-H41)</f>
        <v/>
      </c>
      <c r="L41" s="49">
        <f>IF(G41=0,"",(G41-H41)/G41)</f>
        <v/>
      </c>
      <c r="M41" s="50">
        <f>IF(E41=0,"",IF(I41&gt;='GIẢ ĐỊNH'!$C$8,"ĐẠT","CHƯA"))</f>
        <v/>
      </c>
    </row>
    <row r="42">
      <c r="A42" s="19" t="inlineStr">
        <is>
          <t>T01/2027</t>
        </is>
      </c>
      <c r="B42" s="19" t="inlineStr">
        <is>
          <t>Gò Dầu</t>
        </is>
      </c>
      <c r="C42" s="19" t="inlineStr">
        <is>
          <t>Tân Phú</t>
        </is>
      </c>
      <c r="D42" s="47" t="n"/>
      <c r="E42" s="20" t="n"/>
      <c r="F42" s="20" t="n"/>
      <c r="G42" s="48" t="n"/>
      <c r="H42" s="48" t="n"/>
      <c r="I42" s="49">
        <f>IF(E42=0,"",F42/E42)</f>
        <v/>
      </c>
      <c r="J42" s="22">
        <f>IF(E42=0,"",G42/E42)</f>
        <v/>
      </c>
      <c r="K42" s="22">
        <f>IF(G42=0,"",G42-H42)</f>
        <v/>
      </c>
      <c r="L42" s="49">
        <f>IF(G42=0,"",(G42-H42)/G42)</f>
        <v/>
      </c>
      <c r="M42" s="50">
        <f>IF(E42=0,"",IF(I42&gt;='GIẢ ĐỊNH'!$C$8,"ĐẠT","CHƯA"))</f>
        <v/>
      </c>
    </row>
    <row r="43">
      <c r="A43" s="19" t="inlineStr">
        <is>
          <t>T01/2027</t>
        </is>
      </c>
      <c r="B43" s="19" t="inlineStr">
        <is>
          <t>Lê Thị Nho</t>
        </is>
      </c>
      <c r="C43" s="19" t="inlineStr">
        <is>
          <t>Lê Thị Nho</t>
        </is>
      </c>
      <c r="D43" s="47" t="n"/>
      <c r="E43" s="20" t="n"/>
      <c r="F43" s="20" t="n"/>
      <c r="G43" s="48" t="n"/>
      <c r="H43" s="48" t="n"/>
      <c r="I43" s="49">
        <f>IF(E43=0,"",F43/E43)</f>
        <v/>
      </c>
      <c r="J43" s="22">
        <f>IF(E43=0,"",G43/E43)</f>
        <v/>
      </c>
      <c r="K43" s="22">
        <f>IF(G43=0,"",G43-H43)</f>
        <v/>
      </c>
      <c r="L43" s="49">
        <f>IF(G43=0,"",(G43-H43)/G43)</f>
        <v/>
      </c>
      <c r="M43" s="50">
        <f>IF(E43=0,"",IF(I43&gt;='GIẢ ĐỊNH'!$C$8,"ĐẠT","CHƯA"))</f>
        <v/>
      </c>
    </row>
    <row r="44">
      <c r="A44" s="19" t="inlineStr">
        <is>
          <t>T01/2027</t>
        </is>
      </c>
      <c r="B44" s="19" t="inlineStr">
        <is>
          <t>Đỗ Thừa Luông</t>
        </is>
      </c>
      <c r="C44" s="19" t="inlineStr">
        <is>
          <t>Tân Phú</t>
        </is>
      </c>
      <c r="D44" s="47" t="n"/>
      <c r="E44" s="20" t="n"/>
      <c r="F44" s="20" t="n"/>
      <c r="G44" s="48" t="n"/>
      <c r="H44" s="48" t="n"/>
      <c r="I44" s="49">
        <f>IF(E44=0,"",F44/E44)</f>
        <v/>
      </c>
      <c r="J44" s="22">
        <f>IF(E44=0,"",G44/E44)</f>
        <v/>
      </c>
      <c r="K44" s="22">
        <f>IF(G44=0,"",G44-H44)</f>
        <v/>
      </c>
      <c r="L44" s="49">
        <f>IF(G44=0,"",(G44-H44)/G44)</f>
        <v/>
      </c>
      <c r="M44" s="50">
        <f>IF(E44=0,"",IF(I44&gt;='GIẢ ĐỊNH'!$C$8,"ĐẠT","CHƯA"))</f>
        <v/>
      </c>
    </row>
    <row r="45">
      <c r="A45" s="19" t="inlineStr">
        <is>
          <t>T02/2027</t>
        </is>
      </c>
      <c r="B45" s="19" t="inlineStr">
        <is>
          <t>Điện Biên Phủ</t>
        </is>
      </c>
      <c r="C45" s="19" t="inlineStr">
        <is>
          <t>Trung tâm</t>
        </is>
      </c>
      <c r="D45" s="47" t="n"/>
      <c r="E45" s="20" t="n"/>
      <c r="F45" s="20" t="n"/>
      <c r="G45" s="48" t="n"/>
      <c r="H45" s="48" t="n"/>
      <c r="I45" s="49">
        <f>IF(E45=0,"",F45/E45)</f>
        <v/>
      </c>
      <c r="J45" s="22">
        <f>IF(E45=0,"",G45/E45)</f>
        <v/>
      </c>
      <c r="K45" s="22">
        <f>IF(G45=0,"",G45-H45)</f>
        <v/>
      </c>
      <c r="L45" s="49">
        <f>IF(G45=0,"",(G45-H45)/G45)</f>
        <v/>
      </c>
      <c r="M45" s="50">
        <f>IF(E45=0,"",IF(I45&gt;='GIẢ ĐỊNH'!$C$8,"ĐẠT","CHƯA"))</f>
        <v/>
      </c>
    </row>
    <row r="46">
      <c r="A46" s="19" t="inlineStr">
        <is>
          <t>T02/2027</t>
        </is>
      </c>
      <c r="B46" s="19" t="inlineStr">
        <is>
          <t>Vườn Lài</t>
        </is>
      </c>
      <c r="C46" s="19" t="inlineStr">
        <is>
          <t>Tân Phú</t>
        </is>
      </c>
      <c r="D46" s="47" t="n"/>
      <c r="E46" s="20" t="n"/>
      <c r="F46" s="20" t="n"/>
      <c r="G46" s="48" t="n"/>
      <c r="H46" s="48" t="n"/>
      <c r="I46" s="49">
        <f>IF(E46=0,"",F46/E46)</f>
        <v/>
      </c>
      <c r="J46" s="22">
        <f>IF(E46=0,"",G46/E46)</f>
        <v/>
      </c>
      <c r="K46" s="22">
        <f>IF(G46=0,"",G46-H46)</f>
        <v/>
      </c>
      <c r="L46" s="49">
        <f>IF(G46=0,"",(G46-H46)/G46)</f>
        <v/>
      </c>
      <c r="M46" s="50">
        <f>IF(E46=0,"",IF(I46&gt;='GIẢ ĐỊNH'!$C$8,"ĐẠT","CHƯA"))</f>
        <v/>
      </c>
    </row>
    <row r="47">
      <c r="A47" s="19" t="inlineStr">
        <is>
          <t>T02/2027</t>
        </is>
      </c>
      <c r="B47" s="19" t="inlineStr">
        <is>
          <t>Tứ Hải</t>
        </is>
      </c>
      <c r="C47" s="19" t="inlineStr">
        <is>
          <t>Trung tâm</t>
        </is>
      </c>
      <c r="D47" s="47" t="n"/>
      <c r="E47" s="20" t="n"/>
      <c r="F47" s="20" t="n"/>
      <c r="G47" s="48" t="n"/>
      <c r="H47" s="48" t="n"/>
      <c r="I47" s="49">
        <f>IF(E47=0,"",F47/E47)</f>
        <v/>
      </c>
      <c r="J47" s="22">
        <f>IF(E47=0,"",G47/E47)</f>
        <v/>
      </c>
      <c r="K47" s="22">
        <f>IF(G47=0,"",G47-H47)</f>
        <v/>
      </c>
      <c r="L47" s="49">
        <f>IF(G47=0,"",(G47-H47)/G47)</f>
        <v/>
      </c>
      <c r="M47" s="50">
        <f>IF(E47=0,"",IF(I47&gt;='GIẢ ĐỊNH'!$C$8,"ĐẠT","CHƯA"))</f>
        <v/>
      </c>
    </row>
    <row r="48">
      <c r="A48" s="19" t="inlineStr">
        <is>
          <t>T02/2027</t>
        </is>
      </c>
      <c r="B48" s="19" t="inlineStr">
        <is>
          <t>Phó Cơ Điều</t>
        </is>
      </c>
      <c r="C48" s="19" t="inlineStr">
        <is>
          <t>Trung tâm</t>
        </is>
      </c>
      <c r="D48" s="47" t="n"/>
      <c r="E48" s="20" t="n"/>
      <c r="F48" s="20" t="n"/>
      <c r="G48" s="48" t="n"/>
      <c r="H48" s="48" t="n"/>
      <c r="I48" s="49">
        <f>IF(E48=0,"",F48/E48)</f>
        <v/>
      </c>
      <c r="J48" s="22">
        <f>IF(E48=0,"",G48/E48)</f>
        <v/>
      </c>
      <c r="K48" s="22">
        <f>IF(G48=0,"",G48-H48)</f>
        <v/>
      </c>
      <c r="L48" s="49">
        <f>IF(G48=0,"",(G48-H48)/G48)</f>
        <v/>
      </c>
      <c r="M48" s="50">
        <f>IF(E48=0,"",IF(I48&gt;='GIẢ ĐỊNH'!$C$8,"ĐẠT","CHƯA"))</f>
        <v/>
      </c>
    </row>
    <row r="49">
      <c r="A49" s="19" t="inlineStr">
        <is>
          <t>T02/2027</t>
        </is>
      </c>
      <c r="B49" s="19" t="inlineStr">
        <is>
          <t>Khuông Việt</t>
        </is>
      </c>
      <c r="C49" s="19" t="inlineStr">
        <is>
          <t>Tân Phú</t>
        </is>
      </c>
      <c r="D49" s="47" t="n"/>
      <c r="E49" s="20" t="n"/>
      <c r="F49" s="20" t="n"/>
      <c r="G49" s="48" t="n"/>
      <c r="H49" s="48" t="n"/>
      <c r="I49" s="49">
        <f>IF(E49=0,"",F49/E49)</f>
        <v/>
      </c>
      <c r="J49" s="22">
        <f>IF(E49=0,"",G49/E49)</f>
        <v/>
      </c>
      <c r="K49" s="22">
        <f>IF(G49=0,"",G49-H49)</f>
        <v/>
      </c>
      <c r="L49" s="49">
        <f>IF(G49=0,"",(G49-H49)/G49)</f>
        <v/>
      </c>
      <c r="M49" s="50">
        <f>IF(E49=0,"",IF(I49&gt;='GIẢ ĐỊNH'!$C$8,"ĐẠT","CHƯA"))</f>
        <v/>
      </c>
    </row>
    <row r="50">
      <c r="A50" s="19" t="inlineStr">
        <is>
          <t>T02/2027</t>
        </is>
      </c>
      <c r="B50" s="19" t="inlineStr">
        <is>
          <t>Gò Dầu</t>
        </is>
      </c>
      <c r="C50" s="19" t="inlineStr">
        <is>
          <t>Tân Phú</t>
        </is>
      </c>
      <c r="D50" s="47" t="n"/>
      <c r="E50" s="20" t="n"/>
      <c r="F50" s="20" t="n"/>
      <c r="G50" s="48" t="n"/>
      <c r="H50" s="48" t="n"/>
      <c r="I50" s="49">
        <f>IF(E50=0,"",F50/E50)</f>
        <v/>
      </c>
      <c r="J50" s="22">
        <f>IF(E50=0,"",G50/E50)</f>
        <v/>
      </c>
      <c r="K50" s="22">
        <f>IF(G50=0,"",G50-H50)</f>
        <v/>
      </c>
      <c r="L50" s="49">
        <f>IF(G50=0,"",(G50-H50)/G50)</f>
        <v/>
      </c>
      <c r="M50" s="50">
        <f>IF(E50=0,"",IF(I50&gt;='GIẢ ĐỊNH'!$C$8,"ĐẠT","CHƯA"))</f>
        <v/>
      </c>
    </row>
    <row r="51">
      <c r="A51" s="19" t="inlineStr">
        <is>
          <t>T02/2027</t>
        </is>
      </c>
      <c r="B51" s="19" t="inlineStr">
        <is>
          <t>Lê Thị Nho</t>
        </is>
      </c>
      <c r="C51" s="19" t="inlineStr">
        <is>
          <t>Lê Thị Nho</t>
        </is>
      </c>
      <c r="D51" s="47" t="n"/>
      <c r="E51" s="20" t="n"/>
      <c r="F51" s="20" t="n"/>
      <c r="G51" s="48" t="n"/>
      <c r="H51" s="48" t="n"/>
      <c r="I51" s="49">
        <f>IF(E51=0,"",F51/E51)</f>
        <v/>
      </c>
      <c r="J51" s="22">
        <f>IF(E51=0,"",G51/E51)</f>
        <v/>
      </c>
      <c r="K51" s="22">
        <f>IF(G51=0,"",G51-H51)</f>
        <v/>
      </c>
      <c r="L51" s="49">
        <f>IF(G51=0,"",(G51-H51)/G51)</f>
        <v/>
      </c>
      <c r="M51" s="50">
        <f>IF(E51=0,"",IF(I51&gt;='GIẢ ĐỊNH'!$C$8,"ĐẠT","CHƯA"))</f>
        <v/>
      </c>
    </row>
    <row r="52">
      <c r="A52" s="19" t="inlineStr">
        <is>
          <t>T02/2027</t>
        </is>
      </c>
      <c r="B52" s="19" t="inlineStr">
        <is>
          <t>Đỗ Thừa Luông</t>
        </is>
      </c>
      <c r="C52" s="19" t="inlineStr">
        <is>
          <t>Tân Phú</t>
        </is>
      </c>
      <c r="D52" s="47" t="n"/>
      <c r="E52" s="20" t="n"/>
      <c r="F52" s="20" t="n"/>
      <c r="G52" s="48" t="n"/>
      <c r="H52" s="48" t="n"/>
      <c r="I52" s="49">
        <f>IF(E52=0,"",F52/E52)</f>
        <v/>
      </c>
      <c r="J52" s="22">
        <f>IF(E52=0,"",G52/E52)</f>
        <v/>
      </c>
      <c r="K52" s="22">
        <f>IF(G52=0,"",G52-H52)</f>
        <v/>
      </c>
      <c r="L52" s="49">
        <f>IF(G52=0,"",(G52-H52)/G52)</f>
        <v/>
      </c>
      <c r="M52" s="50">
        <f>IF(E52=0,"",IF(I52&gt;='GIẢ ĐỊNH'!$C$8,"ĐẠT","CHƯA"))</f>
        <v/>
      </c>
    </row>
    <row r="53">
      <c r="A53" s="19" t="inlineStr">
        <is>
          <t>T03/2027</t>
        </is>
      </c>
      <c r="B53" s="19" t="inlineStr">
        <is>
          <t>Điện Biên Phủ</t>
        </is>
      </c>
      <c r="C53" s="19" t="inlineStr">
        <is>
          <t>Trung tâm</t>
        </is>
      </c>
      <c r="D53" s="47" t="n"/>
      <c r="E53" s="20" t="n"/>
      <c r="F53" s="20" t="n"/>
      <c r="G53" s="48" t="n"/>
      <c r="H53" s="48" t="n"/>
      <c r="I53" s="49">
        <f>IF(E53=0,"",F53/E53)</f>
        <v/>
      </c>
      <c r="J53" s="22">
        <f>IF(E53=0,"",G53/E53)</f>
        <v/>
      </c>
      <c r="K53" s="22">
        <f>IF(G53=0,"",G53-H53)</f>
        <v/>
      </c>
      <c r="L53" s="49">
        <f>IF(G53=0,"",(G53-H53)/G53)</f>
        <v/>
      </c>
      <c r="M53" s="50">
        <f>IF(E53=0,"",IF(I53&gt;='GIẢ ĐỊNH'!$C$8,"ĐẠT","CHƯA"))</f>
        <v/>
      </c>
    </row>
    <row r="54">
      <c r="A54" s="19" t="inlineStr">
        <is>
          <t>T03/2027</t>
        </is>
      </c>
      <c r="B54" s="19" t="inlineStr">
        <is>
          <t>Vườn Lài</t>
        </is>
      </c>
      <c r="C54" s="19" t="inlineStr">
        <is>
          <t>Tân Phú</t>
        </is>
      </c>
      <c r="D54" s="47" t="n"/>
      <c r="E54" s="20" t="n"/>
      <c r="F54" s="20" t="n"/>
      <c r="G54" s="48" t="n"/>
      <c r="H54" s="48" t="n"/>
      <c r="I54" s="49">
        <f>IF(E54=0,"",F54/E54)</f>
        <v/>
      </c>
      <c r="J54" s="22">
        <f>IF(E54=0,"",G54/E54)</f>
        <v/>
      </c>
      <c r="K54" s="22">
        <f>IF(G54=0,"",G54-H54)</f>
        <v/>
      </c>
      <c r="L54" s="49">
        <f>IF(G54=0,"",(G54-H54)/G54)</f>
        <v/>
      </c>
      <c r="M54" s="50">
        <f>IF(E54=0,"",IF(I54&gt;='GIẢ ĐỊNH'!$C$8,"ĐẠT","CHƯA"))</f>
        <v/>
      </c>
    </row>
    <row r="55">
      <c r="A55" s="19" t="inlineStr">
        <is>
          <t>T03/2027</t>
        </is>
      </c>
      <c r="B55" s="19" t="inlineStr">
        <is>
          <t>Tứ Hải</t>
        </is>
      </c>
      <c r="C55" s="19" t="inlineStr">
        <is>
          <t>Trung tâm</t>
        </is>
      </c>
      <c r="D55" s="47" t="n"/>
      <c r="E55" s="20" t="n"/>
      <c r="F55" s="20" t="n"/>
      <c r="G55" s="48" t="n"/>
      <c r="H55" s="48" t="n"/>
      <c r="I55" s="49">
        <f>IF(E55=0,"",F55/E55)</f>
        <v/>
      </c>
      <c r="J55" s="22">
        <f>IF(E55=0,"",G55/E55)</f>
        <v/>
      </c>
      <c r="K55" s="22">
        <f>IF(G55=0,"",G55-H55)</f>
        <v/>
      </c>
      <c r="L55" s="49">
        <f>IF(G55=0,"",(G55-H55)/G55)</f>
        <v/>
      </c>
      <c r="M55" s="50">
        <f>IF(E55=0,"",IF(I55&gt;='GIẢ ĐỊNH'!$C$8,"ĐẠT","CHƯA"))</f>
        <v/>
      </c>
    </row>
    <row r="56">
      <c r="A56" s="19" t="inlineStr">
        <is>
          <t>T03/2027</t>
        </is>
      </c>
      <c r="B56" s="19" t="inlineStr">
        <is>
          <t>Phó Cơ Điều</t>
        </is>
      </c>
      <c r="C56" s="19" t="inlineStr">
        <is>
          <t>Trung tâm</t>
        </is>
      </c>
      <c r="D56" s="47" t="n"/>
      <c r="E56" s="20" t="n"/>
      <c r="F56" s="20" t="n"/>
      <c r="G56" s="48" t="n"/>
      <c r="H56" s="48" t="n"/>
      <c r="I56" s="49">
        <f>IF(E56=0,"",F56/E56)</f>
        <v/>
      </c>
      <c r="J56" s="22">
        <f>IF(E56=0,"",G56/E56)</f>
        <v/>
      </c>
      <c r="K56" s="22">
        <f>IF(G56=0,"",G56-H56)</f>
        <v/>
      </c>
      <c r="L56" s="49">
        <f>IF(G56=0,"",(G56-H56)/G56)</f>
        <v/>
      </c>
      <c r="M56" s="50">
        <f>IF(E56=0,"",IF(I56&gt;='GIẢ ĐỊNH'!$C$8,"ĐẠT","CHƯA"))</f>
        <v/>
      </c>
    </row>
    <row r="57">
      <c r="A57" s="19" t="inlineStr">
        <is>
          <t>T03/2027</t>
        </is>
      </c>
      <c r="B57" s="19" t="inlineStr">
        <is>
          <t>Khuông Việt</t>
        </is>
      </c>
      <c r="C57" s="19" t="inlineStr">
        <is>
          <t>Tân Phú</t>
        </is>
      </c>
      <c r="D57" s="47" t="n"/>
      <c r="E57" s="20" t="n"/>
      <c r="F57" s="20" t="n"/>
      <c r="G57" s="48" t="n"/>
      <c r="H57" s="48" t="n"/>
      <c r="I57" s="49">
        <f>IF(E57=0,"",F57/E57)</f>
        <v/>
      </c>
      <c r="J57" s="22">
        <f>IF(E57=0,"",G57/E57)</f>
        <v/>
      </c>
      <c r="K57" s="22">
        <f>IF(G57=0,"",G57-H57)</f>
        <v/>
      </c>
      <c r="L57" s="49">
        <f>IF(G57=0,"",(G57-H57)/G57)</f>
        <v/>
      </c>
      <c r="M57" s="50">
        <f>IF(E57=0,"",IF(I57&gt;='GIẢ ĐỊNH'!$C$8,"ĐẠT","CHƯA"))</f>
        <v/>
      </c>
    </row>
    <row r="58">
      <c r="A58" s="19" t="inlineStr">
        <is>
          <t>T03/2027</t>
        </is>
      </c>
      <c r="B58" s="19" t="inlineStr">
        <is>
          <t>Gò Dầu</t>
        </is>
      </c>
      <c r="C58" s="19" t="inlineStr">
        <is>
          <t>Tân Phú</t>
        </is>
      </c>
      <c r="D58" s="47" t="n"/>
      <c r="E58" s="20" t="n"/>
      <c r="F58" s="20" t="n"/>
      <c r="G58" s="48" t="n"/>
      <c r="H58" s="48" t="n"/>
      <c r="I58" s="49">
        <f>IF(E58=0,"",F58/E58)</f>
        <v/>
      </c>
      <c r="J58" s="22">
        <f>IF(E58=0,"",G58/E58)</f>
        <v/>
      </c>
      <c r="K58" s="22">
        <f>IF(G58=0,"",G58-H58)</f>
        <v/>
      </c>
      <c r="L58" s="49">
        <f>IF(G58=0,"",(G58-H58)/G58)</f>
        <v/>
      </c>
      <c r="M58" s="50">
        <f>IF(E58=0,"",IF(I58&gt;='GIẢ ĐỊNH'!$C$8,"ĐẠT","CHƯA"))</f>
        <v/>
      </c>
    </row>
    <row r="59">
      <c r="A59" s="19" t="inlineStr">
        <is>
          <t>T03/2027</t>
        </is>
      </c>
      <c r="B59" s="19" t="inlineStr">
        <is>
          <t>Lê Thị Nho</t>
        </is>
      </c>
      <c r="C59" s="19" t="inlineStr">
        <is>
          <t>Lê Thị Nho</t>
        </is>
      </c>
      <c r="D59" s="47" t="n"/>
      <c r="E59" s="20" t="n"/>
      <c r="F59" s="20" t="n"/>
      <c r="G59" s="48" t="n"/>
      <c r="H59" s="48" t="n"/>
      <c r="I59" s="49">
        <f>IF(E59=0,"",F59/E59)</f>
        <v/>
      </c>
      <c r="J59" s="22">
        <f>IF(E59=0,"",G59/E59)</f>
        <v/>
      </c>
      <c r="K59" s="22">
        <f>IF(G59=0,"",G59-H59)</f>
        <v/>
      </c>
      <c r="L59" s="49">
        <f>IF(G59=0,"",(G59-H59)/G59)</f>
        <v/>
      </c>
      <c r="M59" s="50">
        <f>IF(E59=0,"",IF(I59&gt;='GIẢ ĐỊNH'!$C$8,"ĐẠT","CHƯA"))</f>
        <v/>
      </c>
    </row>
    <row r="60">
      <c r="A60" s="19" t="inlineStr">
        <is>
          <t>T03/2027</t>
        </is>
      </c>
      <c r="B60" s="19" t="inlineStr">
        <is>
          <t>Đỗ Thừa Luông</t>
        </is>
      </c>
      <c r="C60" s="19" t="inlineStr">
        <is>
          <t>Tân Phú</t>
        </is>
      </c>
      <c r="D60" s="47" t="n"/>
      <c r="E60" s="20" t="n"/>
      <c r="F60" s="20" t="n"/>
      <c r="G60" s="48" t="n"/>
      <c r="H60" s="48" t="n"/>
      <c r="I60" s="49">
        <f>IF(E60=0,"",F60/E60)</f>
        <v/>
      </c>
      <c r="J60" s="22">
        <f>IF(E60=0,"",G60/E60)</f>
        <v/>
      </c>
      <c r="K60" s="22">
        <f>IF(G60=0,"",G60-H60)</f>
        <v/>
      </c>
      <c r="L60" s="49">
        <f>IF(G60=0,"",(G60-H60)/G60)</f>
        <v/>
      </c>
      <c r="M60" s="50">
        <f>IF(E60=0,"",IF(I60&gt;='GIẢ ĐỊNH'!$C$8,"ĐẠT","CHƯA"))</f>
        <v/>
      </c>
    </row>
    <row r="61">
      <c r="A61" s="19" t="inlineStr">
        <is>
          <t>T04/2027</t>
        </is>
      </c>
      <c r="B61" s="19" t="inlineStr">
        <is>
          <t>Điện Biên Phủ</t>
        </is>
      </c>
      <c r="C61" s="19" t="inlineStr">
        <is>
          <t>Trung tâm</t>
        </is>
      </c>
      <c r="D61" s="47" t="n"/>
      <c r="E61" s="20" t="n"/>
      <c r="F61" s="20" t="n"/>
      <c r="G61" s="48" t="n"/>
      <c r="H61" s="48" t="n"/>
      <c r="I61" s="49">
        <f>IF(E61=0,"",F61/E61)</f>
        <v/>
      </c>
      <c r="J61" s="22">
        <f>IF(E61=0,"",G61/E61)</f>
        <v/>
      </c>
      <c r="K61" s="22">
        <f>IF(G61=0,"",G61-H61)</f>
        <v/>
      </c>
      <c r="L61" s="49">
        <f>IF(G61=0,"",(G61-H61)/G61)</f>
        <v/>
      </c>
      <c r="M61" s="50">
        <f>IF(E61=0,"",IF(I61&gt;='GIẢ ĐỊNH'!$C$8,"ĐẠT","CHƯA"))</f>
        <v/>
      </c>
    </row>
    <row r="62">
      <c r="A62" s="19" t="inlineStr">
        <is>
          <t>T04/2027</t>
        </is>
      </c>
      <c r="B62" s="19" t="inlineStr">
        <is>
          <t>Vườn Lài</t>
        </is>
      </c>
      <c r="C62" s="19" t="inlineStr">
        <is>
          <t>Tân Phú</t>
        </is>
      </c>
      <c r="D62" s="47" t="n"/>
      <c r="E62" s="20" t="n"/>
      <c r="F62" s="20" t="n"/>
      <c r="G62" s="48" t="n"/>
      <c r="H62" s="48" t="n"/>
      <c r="I62" s="49">
        <f>IF(E62=0,"",F62/E62)</f>
        <v/>
      </c>
      <c r="J62" s="22">
        <f>IF(E62=0,"",G62/E62)</f>
        <v/>
      </c>
      <c r="K62" s="22">
        <f>IF(G62=0,"",G62-H62)</f>
        <v/>
      </c>
      <c r="L62" s="49">
        <f>IF(G62=0,"",(G62-H62)/G62)</f>
        <v/>
      </c>
      <c r="M62" s="50">
        <f>IF(E62=0,"",IF(I62&gt;='GIẢ ĐỊNH'!$C$8,"ĐẠT","CHƯA"))</f>
        <v/>
      </c>
    </row>
    <row r="63">
      <c r="A63" s="19" t="inlineStr">
        <is>
          <t>T04/2027</t>
        </is>
      </c>
      <c r="B63" s="19" t="inlineStr">
        <is>
          <t>Tứ Hải</t>
        </is>
      </c>
      <c r="C63" s="19" t="inlineStr">
        <is>
          <t>Trung tâm</t>
        </is>
      </c>
      <c r="D63" s="47" t="n"/>
      <c r="E63" s="20" t="n"/>
      <c r="F63" s="20" t="n"/>
      <c r="G63" s="48" t="n"/>
      <c r="H63" s="48" t="n"/>
      <c r="I63" s="49">
        <f>IF(E63=0,"",F63/E63)</f>
        <v/>
      </c>
      <c r="J63" s="22">
        <f>IF(E63=0,"",G63/E63)</f>
        <v/>
      </c>
      <c r="K63" s="22">
        <f>IF(G63=0,"",G63-H63)</f>
        <v/>
      </c>
      <c r="L63" s="49">
        <f>IF(G63=0,"",(G63-H63)/G63)</f>
        <v/>
      </c>
      <c r="M63" s="50">
        <f>IF(E63=0,"",IF(I63&gt;='GIẢ ĐỊNH'!$C$8,"ĐẠT","CHƯA"))</f>
        <v/>
      </c>
    </row>
    <row r="64">
      <c r="A64" s="19" t="inlineStr">
        <is>
          <t>T04/2027</t>
        </is>
      </c>
      <c r="B64" s="19" t="inlineStr">
        <is>
          <t>Phó Cơ Điều</t>
        </is>
      </c>
      <c r="C64" s="19" t="inlineStr">
        <is>
          <t>Trung tâm</t>
        </is>
      </c>
      <c r="D64" s="47" t="n"/>
      <c r="E64" s="20" t="n"/>
      <c r="F64" s="20" t="n"/>
      <c r="G64" s="48" t="n"/>
      <c r="H64" s="48" t="n"/>
      <c r="I64" s="49">
        <f>IF(E64=0,"",F64/E64)</f>
        <v/>
      </c>
      <c r="J64" s="22">
        <f>IF(E64=0,"",G64/E64)</f>
        <v/>
      </c>
      <c r="K64" s="22">
        <f>IF(G64=0,"",G64-H64)</f>
        <v/>
      </c>
      <c r="L64" s="49">
        <f>IF(G64=0,"",(G64-H64)/G64)</f>
        <v/>
      </c>
      <c r="M64" s="50">
        <f>IF(E64=0,"",IF(I64&gt;='GIẢ ĐỊNH'!$C$8,"ĐẠT","CHƯA"))</f>
        <v/>
      </c>
    </row>
    <row r="65">
      <c r="A65" s="19" t="inlineStr">
        <is>
          <t>T04/2027</t>
        </is>
      </c>
      <c r="B65" s="19" t="inlineStr">
        <is>
          <t>Khuông Việt</t>
        </is>
      </c>
      <c r="C65" s="19" t="inlineStr">
        <is>
          <t>Tân Phú</t>
        </is>
      </c>
      <c r="D65" s="47" t="n"/>
      <c r="E65" s="20" t="n"/>
      <c r="F65" s="20" t="n"/>
      <c r="G65" s="48" t="n"/>
      <c r="H65" s="48" t="n"/>
      <c r="I65" s="49">
        <f>IF(E65=0,"",F65/E65)</f>
        <v/>
      </c>
      <c r="J65" s="22">
        <f>IF(E65=0,"",G65/E65)</f>
        <v/>
      </c>
      <c r="K65" s="22">
        <f>IF(G65=0,"",G65-H65)</f>
        <v/>
      </c>
      <c r="L65" s="49">
        <f>IF(G65=0,"",(G65-H65)/G65)</f>
        <v/>
      </c>
      <c r="M65" s="50">
        <f>IF(E65=0,"",IF(I65&gt;='GIẢ ĐỊNH'!$C$8,"ĐẠT","CHƯA"))</f>
        <v/>
      </c>
    </row>
    <row r="66">
      <c r="A66" s="19" t="inlineStr">
        <is>
          <t>T04/2027</t>
        </is>
      </c>
      <c r="B66" s="19" t="inlineStr">
        <is>
          <t>Gò Dầu</t>
        </is>
      </c>
      <c r="C66" s="19" t="inlineStr">
        <is>
          <t>Tân Phú</t>
        </is>
      </c>
      <c r="D66" s="47" t="n"/>
      <c r="E66" s="20" t="n"/>
      <c r="F66" s="20" t="n"/>
      <c r="G66" s="48" t="n"/>
      <c r="H66" s="48" t="n"/>
      <c r="I66" s="49">
        <f>IF(E66=0,"",F66/E66)</f>
        <v/>
      </c>
      <c r="J66" s="22">
        <f>IF(E66=0,"",G66/E66)</f>
        <v/>
      </c>
      <c r="K66" s="22">
        <f>IF(G66=0,"",G66-H66)</f>
        <v/>
      </c>
      <c r="L66" s="49">
        <f>IF(G66=0,"",(G66-H66)/G66)</f>
        <v/>
      </c>
      <c r="M66" s="50">
        <f>IF(E66=0,"",IF(I66&gt;='GIẢ ĐỊNH'!$C$8,"ĐẠT","CHƯA"))</f>
        <v/>
      </c>
    </row>
    <row r="67">
      <c r="A67" s="19" t="inlineStr">
        <is>
          <t>T04/2027</t>
        </is>
      </c>
      <c r="B67" s="19" t="inlineStr">
        <is>
          <t>Lê Thị Nho</t>
        </is>
      </c>
      <c r="C67" s="19" t="inlineStr">
        <is>
          <t>Lê Thị Nho</t>
        </is>
      </c>
      <c r="D67" s="47" t="n"/>
      <c r="E67" s="20" t="n"/>
      <c r="F67" s="20" t="n"/>
      <c r="G67" s="48" t="n"/>
      <c r="H67" s="48" t="n"/>
      <c r="I67" s="49">
        <f>IF(E67=0,"",F67/E67)</f>
        <v/>
      </c>
      <c r="J67" s="22">
        <f>IF(E67=0,"",G67/E67)</f>
        <v/>
      </c>
      <c r="K67" s="22">
        <f>IF(G67=0,"",G67-H67)</f>
        <v/>
      </c>
      <c r="L67" s="49">
        <f>IF(G67=0,"",(G67-H67)/G67)</f>
        <v/>
      </c>
      <c r="M67" s="50">
        <f>IF(E67=0,"",IF(I67&gt;='GIẢ ĐỊNH'!$C$8,"ĐẠT","CHƯA"))</f>
        <v/>
      </c>
    </row>
    <row r="68">
      <c r="A68" s="19" t="inlineStr">
        <is>
          <t>T04/2027</t>
        </is>
      </c>
      <c r="B68" s="19" t="inlineStr">
        <is>
          <t>Đỗ Thừa Luông</t>
        </is>
      </c>
      <c r="C68" s="19" t="inlineStr">
        <is>
          <t>Tân Phú</t>
        </is>
      </c>
      <c r="D68" s="47" t="n"/>
      <c r="E68" s="20" t="n"/>
      <c r="F68" s="20" t="n"/>
      <c r="G68" s="48" t="n"/>
      <c r="H68" s="48" t="n"/>
      <c r="I68" s="49">
        <f>IF(E68=0,"",F68/E68)</f>
        <v/>
      </c>
      <c r="J68" s="22">
        <f>IF(E68=0,"",G68/E68)</f>
        <v/>
      </c>
      <c r="K68" s="22">
        <f>IF(G68=0,"",G68-H68)</f>
        <v/>
      </c>
      <c r="L68" s="49">
        <f>IF(G68=0,"",(G68-H68)/G68)</f>
        <v/>
      </c>
      <c r="M68" s="50">
        <f>IF(E68=0,"",IF(I68&gt;='GIẢ ĐỊNH'!$C$8,"ĐẠT","CHƯA"))</f>
        <v/>
      </c>
    </row>
    <row r="69">
      <c r="A69" s="19" t="inlineStr">
        <is>
          <t>T05/2027</t>
        </is>
      </c>
      <c r="B69" s="19" t="inlineStr">
        <is>
          <t>Điện Biên Phủ</t>
        </is>
      </c>
      <c r="C69" s="19" t="inlineStr">
        <is>
          <t>Trung tâm</t>
        </is>
      </c>
      <c r="D69" s="47" t="n"/>
      <c r="E69" s="20" t="n"/>
      <c r="F69" s="20" t="n"/>
      <c r="G69" s="48" t="n"/>
      <c r="H69" s="48" t="n"/>
      <c r="I69" s="49">
        <f>IF(E69=0,"",F69/E69)</f>
        <v/>
      </c>
      <c r="J69" s="22">
        <f>IF(E69=0,"",G69/E69)</f>
        <v/>
      </c>
      <c r="K69" s="22">
        <f>IF(G69=0,"",G69-H69)</f>
        <v/>
      </c>
      <c r="L69" s="49">
        <f>IF(G69=0,"",(G69-H69)/G69)</f>
        <v/>
      </c>
      <c r="M69" s="50">
        <f>IF(E69=0,"",IF(I69&gt;='GIẢ ĐỊNH'!$C$8,"ĐẠT","CHƯA"))</f>
        <v/>
      </c>
    </row>
    <row r="70">
      <c r="A70" s="19" t="inlineStr">
        <is>
          <t>T05/2027</t>
        </is>
      </c>
      <c r="B70" s="19" t="inlineStr">
        <is>
          <t>Vườn Lài</t>
        </is>
      </c>
      <c r="C70" s="19" t="inlineStr">
        <is>
          <t>Tân Phú</t>
        </is>
      </c>
      <c r="D70" s="47" t="n"/>
      <c r="E70" s="20" t="n"/>
      <c r="F70" s="20" t="n"/>
      <c r="G70" s="48" t="n"/>
      <c r="H70" s="48" t="n"/>
      <c r="I70" s="49">
        <f>IF(E70=0,"",F70/E70)</f>
        <v/>
      </c>
      <c r="J70" s="22">
        <f>IF(E70=0,"",G70/E70)</f>
        <v/>
      </c>
      <c r="K70" s="22">
        <f>IF(G70=0,"",G70-H70)</f>
        <v/>
      </c>
      <c r="L70" s="49">
        <f>IF(G70=0,"",(G70-H70)/G70)</f>
        <v/>
      </c>
      <c r="M70" s="50">
        <f>IF(E70=0,"",IF(I70&gt;='GIẢ ĐỊNH'!$C$8,"ĐẠT","CHƯA"))</f>
        <v/>
      </c>
    </row>
    <row r="71">
      <c r="A71" s="19" t="inlineStr">
        <is>
          <t>T05/2027</t>
        </is>
      </c>
      <c r="B71" s="19" t="inlineStr">
        <is>
          <t>Tứ Hải</t>
        </is>
      </c>
      <c r="C71" s="19" t="inlineStr">
        <is>
          <t>Trung tâm</t>
        </is>
      </c>
      <c r="D71" s="47" t="n"/>
      <c r="E71" s="20" t="n"/>
      <c r="F71" s="20" t="n"/>
      <c r="G71" s="48" t="n"/>
      <c r="H71" s="48" t="n"/>
      <c r="I71" s="49">
        <f>IF(E71=0,"",F71/E71)</f>
        <v/>
      </c>
      <c r="J71" s="22">
        <f>IF(E71=0,"",G71/E71)</f>
        <v/>
      </c>
      <c r="K71" s="22">
        <f>IF(G71=0,"",G71-H71)</f>
        <v/>
      </c>
      <c r="L71" s="49">
        <f>IF(G71=0,"",(G71-H71)/G71)</f>
        <v/>
      </c>
      <c r="M71" s="50">
        <f>IF(E71=0,"",IF(I71&gt;='GIẢ ĐỊNH'!$C$8,"ĐẠT","CHƯA"))</f>
        <v/>
      </c>
    </row>
    <row r="72">
      <c r="A72" s="19" t="inlineStr">
        <is>
          <t>T05/2027</t>
        </is>
      </c>
      <c r="B72" s="19" t="inlineStr">
        <is>
          <t>Phó Cơ Điều</t>
        </is>
      </c>
      <c r="C72" s="19" t="inlineStr">
        <is>
          <t>Trung tâm</t>
        </is>
      </c>
      <c r="D72" s="47" t="n"/>
      <c r="E72" s="20" t="n"/>
      <c r="F72" s="20" t="n"/>
      <c r="G72" s="48" t="n"/>
      <c r="H72" s="48" t="n"/>
      <c r="I72" s="49">
        <f>IF(E72=0,"",F72/E72)</f>
        <v/>
      </c>
      <c r="J72" s="22">
        <f>IF(E72=0,"",G72/E72)</f>
        <v/>
      </c>
      <c r="K72" s="22">
        <f>IF(G72=0,"",G72-H72)</f>
        <v/>
      </c>
      <c r="L72" s="49">
        <f>IF(G72=0,"",(G72-H72)/G72)</f>
        <v/>
      </c>
      <c r="M72" s="50">
        <f>IF(E72=0,"",IF(I72&gt;='GIẢ ĐỊNH'!$C$8,"ĐẠT","CHƯA"))</f>
        <v/>
      </c>
    </row>
    <row r="73">
      <c r="A73" s="19" t="inlineStr">
        <is>
          <t>T05/2027</t>
        </is>
      </c>
      <c r="B73" s="19" t="inlineStr">
        <is>
          <t>Khuông Việt</t>
        </is>
      </c>
      <c r="C73" s="19" t="inlineStr">
        <is>
          <t>Tân Phú</t>
        </is>
      </c>
      <c r="D73" s="47" t="n"/>
      <c r="E73" s="20" t="n"/>
      <c r="F73" s="20" t="n"/>
      <c r="G73" s="48" t="n"/>
      <c r="H73" s="48" t="n"/>
      <c r="I73" s="49">
        <f>IF(E73=0,"",F73/E73)</f>
        <v/>
      </c>
      <c r="J73" s="22">
        <f>IF(E73=0,"",G73/E73)</f>
        <v/>
      </c>
      <c r="K73" s="22">
        <f>IF(G73=0,"",G73-H73)</f>
        <v/>
      </c>
      <c r="L73" s="49">
        <f>IF(G73=0,"",(G73-H73)/G73)</f>
        <v/>
      </c>
      <c r="M73" s="50">
        <f>IF(E73=0,"",IF(I73&gt;='GIẢ ĐỊNH'!$C$8,"ĐẠT","CHƯA"))</f>
        <v/>
      </c>
    </row>
    <row r="74">
      <c r="A74" s="19" t="inlineStr">
        <is>
          <t>T05/2027</t>
        </is>
      </c>
      <c r="B74" s="19" t="inlineStr">
        <is>
          <t>Gò Dầu</t>
        </is>
      </c>
      <c r="C74" s="19" t="inlineStr">
        <is>
          <t>Tân Phú</t>
        </is>
      </c>
      <c r="D74" s="47" t="n"/>
      <c r="E74" s="20" t="n"/>
      <c r="F74" s="20" t="n"/>
      <c r="G74" s="48" t="n"/>
      <c r="H74" s="48" t="n"/>
      <c r="I74" s="49">
        <f>IF(E74=0,"",F74/E74)</f>
        <v/>
      </c>
      <c r="J74" s="22">
        <f>IF(E74=0,"",G74/E74)</f>
        <v/>
      </c>
      <c r="K74" s="22">
        <f>IF(G74=0,"",G74-H74)</f>
        <v/>
      </c>
      <c r="L74" s="49">
        <f>IF(G74=0,"",(G74-H74)/G74)</f>
        <v/>
      </c>
      <c r="M74" s="50">
        <f>IF(E74=0,"",IF(I74&gt;='GIẢ ĐỊNH'!$C$8,"ĐẠT","CHƯA"))</f>
        <v/>
      </c>
    </row>
    <row r="75">
      <c r="A75" s="19" t="inlineStr">
        <is>
          <t>T05/2027</t>
        </is>
      </c>
      <c r="B75" s="19" t="inlineStr">
        <is>
          <t>Lê Thị Nho</t>
        </is>
      </c>
      <c r="C75" s="19" t="inlineStr">
        <is>
          <t>Lê Thị Nho</t>
        </is>
      </c>
      <c r="D75" s="47" t="n"/>
      <c r="E75" s="20" t="n"/>
      <c r="F75" s="20" t="n"/>
      <c r="G75" s="48" t="n"/>
      <c r="H75" s="48" t="n"/>
      <c r="I75" s="49">
        <f>IF(E75=0,"",F75/E75)</f>
        <v/>
      </c>
      <c r="J75" s="22">
        <f>IF(E75=0,"",G75/E75)</f>
        <v/>
      </c>
      <c r="K75" s="22">
        <f>IF(G75=0,"",G75-H75)</f>
        <v/>
      </c>
      <c r="L75" s="49">
        <f>IF(G75=0,"",(G75-H75)/G75)</f>
        <v/>
      </c>
      <c r="M75" s="50">
        <f>IF(E75=0,"",IF(I75&gt;='GIẢ ĐỊNH'!$C$8,"ĐẠT","CHƯA"))</f>
        <v/>
      </c>
    </row>
    <row r="76">
      <c r="A76" s="19" t="inlineStr">
        <is>
          <t>T05/2027</t>
        </is>
      </c>
      <c r="B76" s="19" t="inlineStr">
        <is>
          <t>Đỗ Thừa Luông</t>
        </is>
      </c>
      <c r="C76" s="19" t="inlineStr">
        <is>
          <t>Tân Phú</t>
        </is>
      </c>
      <c r="D76" s="47" t="n"/>
      <c r="E76" s="20" t="n"/>
      <c r="F76" s="20" t="n"/>
      <c r="G76" s="48" t="n"/>
      <c r="H76" s="48" t="n"/>
      <c r="I76" s="49">
        <f>IF(E76=0,"",F76/E76)</f>
        <v/>
      </c>
      <c r="J76" s="22">
        <f>IF(E76=0,"",G76/E76)</f>
        <v/>
      </c>
      <c r="K76" s="22">
        <f>IF(G76=0,"",G76-H76)</f>
        <v/>
      </c>
      <c r="L76" s="49">
        <f>IF(G76=0,"",(G76-H76)/G76)</f>
        <v/>
      </c>
      <c r="M76" s="50">
        <f>IF(E76=0,"",IF(I76&gt;='GIẢ ĐỊNH'!$C$8,"ĐẠT","CHƯA"))</f>
        <v/>
      </c>
    </row>
    <row r="77">
      <c r="A77" s="19" t="inlineStr">
        <is>
          <t>T06/2027</t>
        </is>
      </c>
      <c r="B77" s="19" t="inlineStr">
        <is>
          <t>Điện Biên Phủ</t>
        </is>
      </c>
      <c r="C77" s="19" t="inlineStr">
        <is>
          <t>Trung tâm</t>
        </is>
      </c>
      <c r="D77" s="47" t="n"/>
      <c r="E77" s="20" t="n"/>
      <c r="F77" s="20" t="n"/>
      <c r="G77" s="48" t="n"/>
      <c r="H77" s="48" t="n"/>
      <c r="I77" s="49">
        <f>IF(E77=0,"",F77/E77)</f>
        <v/>
      </c>
      <c r="J77" s="22">
        <f>IF(E77=0,"",G77/E77)</f>
        <v/>
      </c>
      <c r="K77" s="22">
        <f>IF(G77=0,"",G77-H77)</f>
        <v/>
      </c>
      <c r="L77" s="49">
        <f>IF(G77=0,"",(G77-H77)/G77)</f>
        <v/>
      </c>
      <c r="M77" s="50">
        <f>IF(E77=0,"",IF(I77&gt;='GIẢ ĐỊNH'!$C$8,"ĐẠT","CHƯA"))</f>
        <v/>
      </c>
    </row>
    <row r="78">
      <c r="A78" s="19" t="inlineStr">
        <is>
          <t>T06/2027</t>
        </is>
      </c>
      <c r="B78" s="19" t="inlineStr">
        <is>
          <t>Vườn Lài</t>
        </is>
      </c>
      <c r="C78" s="19" t="inlineStr">
        <is>
          <t>Tân Phú</t>
        </is>
      </c>
      <c r="D78" s="47" t="n"/>
      <c r="E78" s="20" t="n"/>
      <c r="F78" s="20" t="n"/>
      <c r="G78" s="48" t="n"/>
      <c r="H78" s="48" t="n"/>
      <c r="I78" s="49">
        <f>IF(E78=0,"",F78/E78)</f>
        <v/>
      </c>
      <c r="J78" s="22">
        <f>IF(E78=0,"",G78/E78)</f>
        <v/>
      </c>
      <c r="K78" s="22">
        <f>IF(G78=0,"",G78-H78)</f>
        <v/>
      </c>
      <c r="L78" s="49">
        <f>IF(G78=0,"",(G78-H78)/G78)</f>
        <v/>
      </c>
      <c r="M78" s="50">
        <f>IF(E78=0,"",IF(I78&gt;='GIẢ ĐỊNH'!$C$8,"ĐẠT","CHƯA"))</f>
        <v/>
      </c>
    </row>
    <row r="79">
      <c r="A79" s="19" t="inlineStr">
        <is>
          <t>T06/2027</t>
        </is>
      </c>
      <c r="B79" s="19" t="inlineStr">
        <is>
          <t>Tứ Hải</t>
        </is>
      </c>
      <c r="C79" s="19" t="inlineStr">
        <is>
          <t>Trung tâm</t>
        </is>
      </c>
      <c r="D79" s="47" t="n"/>
      <c r="E79" s="20" t="n"/>
      <c r="F79" s="20" t="n"/>
      <c r="G79" s="48" t="n"/>
      <c r="H79" s="48" t="n"/>
      <c r="I79" s="49">
        <f>IF(E79=0,"",F79/E79)</f>
        <v/>
      </c>
      <c r="J79" s="22">
        <f>IF(E79=0,"",G79/E79)</f>
        <v/>
      </c>
      <c r="K79" s="22">
        <f>IF(G79=0,"",G79-H79)</f>
        <v/>
      </c>
      <c r="L79" s="49">
        <f>IF(G79=0,"",(G79-H79)/G79)</f>
        <v/>
      </c>
      <c r="M79" s="50">
        <f>IF(E79=0,"",IF(I79&gt;='GIẢ ĐỊNH'!$C$8,"ĐẠT","CHƯA"))</f>
        <v/>
      </c>
    </row>
    <row r="80">
      <c r="A80" s="19" t="inlineStr">
        <is>
          <t>T06/2027</t>
        </is>
      </c>
      <c r="B80" s="19" t="inlineStr">
        <is>
          <t>Phó Cơ Điều</t>
        </is>
      </c>
      <c r="C80" s="19" t="inlineStr">
        <is>
          <t>Trung tâm</t>
        </is>
      </c>
      <c r="D80" s="47" t="n"/>
      <c r="E80" s="20" t="n"/>
      <c r="F80" s="20" t="n"/>
      <c r="G80" s="48" t="n"/>
      <c r="H80" s="48" t="n"/>
      <c r="I80" s="49">
        <f>IF(E80=0,"",F80/E80)</f>
        <v/>
      </c>
      <c r="J80" s="22">
        <f>IF(E80=0,"",G80/E80)</f>
        <v/>
      </c>
      <c r="K80" s="22">
        <f>IF(G80=0,"",G80-H80)</f>
        <v/>
      </c>
      <c r="L80" s="49">
        <f>IF(G80=0,"",(G80-H80)/G80)</f>
        <v/>
      </c>
      <c r="M80" s="50">
        <f>IF(E80=0,"",IF(I80&gt;='GIẢ ĐỊNH'!$C$8,"ĐẠT","CHƯA"))</f>
        <v/>
      </c>
    </row>
    <row r="81">
      <c r="A81" s="19" t="inlineStr">
        <is>
          <t>T06/2027</t>
        </is>
      </c>
      <c r="B81" s="19" t="inlineStr">
        <is>
          <t>Khuông Việt</t>
        </is>
      </c>
      <c r="C81" s="19" t="inlineStr">
        <is>
          <t>Tân Phú</t>
        </is>
      </c>
      <c r="D81" s="47" t="n"/>
      <c r="E81" s="20" t="n"/>
      <c r="F81" s="20" t="n"/>
      <c r="G81" s="48" t="n"/>
      <c r="H81" s="48" t="n"/>
      <c r="I81" s="49">
        <f>IF(E81=0,"",F81/E81)</f>
        <v/>
      </c>
      <c r="J81" s="22">
        <f>IF(E81=0,"",G81/E81)</f>
        <v/>
      </c>
      <c r="K81" s="22">
        <f>IF(G81=0,"",G81-H81)</f>
        <v/>
      </c>
      <c r="L81" s="49">
        <f>IF(G81=0,"",(G81-H81)/G81)</f>
        <v/>
      </c>
      <c r="M81" s="50">
        <f>IF(E81=0,"",IF(I81&gt;='GIẢ ĐỊNH'!$C$8,"ĐẠT","CHƯA"))</f>
        <v/>
      </c>
    </row>
    <row r="82">
      <c r="A82" s="19" t="inlineStr">
        <is>
          <t>T06/2027</t>
        </is>
      </c>
      <c r="B82" s="19" t="inlineStr">
        <is>
          <t>Gò Dầu</t>
        </is>
      </c>
      <c r="C82" s="19" t="inlineStr">
        <is>
          <t>Tân Phú</t>
        </is>
      </c>
      <c r="D82" s="47" t="n"/>
      <c r="E82" s="20" t="n"/>
      <c r="F82" s="20" t="n"/>
      <c r="G82" s="48" t="n"/>
      <c r="H82" s="48" t="n"/>
      <c r="I82" s="49">
        <f>IF(E82=0,"",F82/E82)</f>
        <v/>
      </c>
      <c r="J82" s="22">
        <f>IF(E82=0,"",G82/E82)</f>
        <v/>
      </c>
      <c r="K82" s="22">
        <f>IF(G82=0,"",G82-H82)</f>
        <v/>
      </c>
      <c r="L82" s="49">
        <f>IF(G82=0,"",(G82-H82)/G82)</f>
        <v/>
      </c>
      <c r="M82" s="50">
        <f>IF(E82=0,"",IF(I82&gt;='GIẢ ĐỊNH'!$C$8,"ĐẠT","CHƯA"))</f>
        <v/>
      </c>
    </row>
    <row r="83">
      <c r="A83" s="19" t="inlineStr">
        <is>
          <t>T06/2027</t>
        </is>
      </c>
      <c r="B83" s="19" t="inlineStr">
        <is>
          <t>Lê Thị Nho</t>
        </is>
      </c>
      <c r="C83" s="19" t="inlineStr">
        <is>
          <t>Lê Thị Nho</t>
        </is>
      </c>
      <c r="D83" s="47" t="n"/>
      <c r="E83" s="20" t="n"/>
      <c r="F83" s="20" t="n"/>
      <c r="G83" s="48" t="n"/>
      <c r="H83" s="48" t="n"/>
      <c r="I83" s="49">
        <f>IF(E83=0,"",F83/E83)</f>
        <v/>
      </c>
      <c r="J83" s="22">
        <f>IF(E83=0,"",G83/E83)</f>
        <v/>
      </c>
      <c r="K83" s="22">
        <f>IF(G83=0,"",G83-H83)</f>
        <v/>
      </c>
      <c r="L83" s="49">
        <f>IF(G83=0,"",(G83-H83)/G83)</f>
        <v/>
      </c>
      <c r="M83" s="50">
        <f>IF(E83=0,"",IF(I83&gt;='GIẢ ĐỊNH'!$C$8,"ĐẠT","CHƯA"))</f>
        <v/>
      </c>
    </row>
    <row r="84">
      <c r="A84" s="19" t="inlineStr">
        <is>
          <t>T06/2027</t>
        </is>
      </c>
      <c r="B84" s="19" t="inlineStr">
        <is>
          <t>Đỗ Thừa Luông</t>
        </is>
      </c>
      <c r="C84" s="19" t="inlineStr">
        <is>
          <t>Tân Phú</t>
        </is>
      </c>
      <c r="D84" s="47" t="n"/>
      <c r="E84" s="20" t="n"/>
      <c r="F84" s="20" t="n"/>
      <c r="G84" s="48" t="n"/>
      <c r="H84" s="48" t="n"/>
      <c r="I84" s="49">
        <f>IF(E84=0,"",F84/E84)</f>
        <v/>
      </c>
      <c r="J84" s="22">
        <f>IF(E84=0,"",G84/E84)</f>
        <v/>
      </c>
      <c r="K84" s="22">
        <f>IF(G84=0,"",G84-H84)</f>
        <v/>
      </c>
      <c r="L84" s="49">
        <f>IF(G84=0,"",(G84-H84)/G84)</f>
        <v/>
      </c>
      <c r="M84" s="50">
        <f>IF(E84=0,"",IF(I84&gt;='GIẢ ĐỊNH'!$C$8,"ĐẠT","CHƯA"))</f>
        <v/>
      </c>
    </row>
    <row r="85">
      <c r="A85" s="19" t="inlineStr">
        <is>
          <t>T07/2027</t>
        </is>
      </c>
      <c r="B85" s="19" t="inlineStr">
        <is>
          <t>Điện Biên Phủ</t>
        </is>
      </c>
      <c r="C85" s="19" t="inlineStr">
        <is>
          <t>Trung tâm</t>
        </is>
      </c>
      <c r="D85" s="47" t="n"/>
      <c r="E85" s="20" t="n"/>
      <c r="F85" s="20" t="n"/>
      <c r="G85" s="48" t="n"/>
      <c r="H85" s="48" t="n"/>
      <c r="I85" s="49">
        <f>IF(E85=0,"",F85/E85)</f>
        <v/>
      </c>
      <c r="J85" s="22">
        <f>IF(E85=0,"",G85/E85)</f>
        <v/>
      </c>
      <c r="K85" s="22">
        <f>IF(G85=0,"",G85-H85)</f>
        <v/>
      </c>
      <c r="L85" s="49">
        <f>IF(G85=0,"",(G85-H85)/G85)</f>
        <v/>
      </c>
      <c r="M85" s="50">
        <f>IF(E85=0,"",IF(I85&gt;='GIẢ ĐỊNH'!$C$8,"ĐẠT","CHƯA"))</f>
        <v/>
      </c>
    </row>
    <row r="86">
      <c r="A86" s="19" t="inlineStr">
        <is>
          <t>T07/2027</t>
        </is>
      </c>
      <c r="B86" s="19" t="inlineStr">
        <is>
          <t>Vườn Lài</t>
        </is>
      </c>
      <c r="C86" s="19" t="inlineStr">
        <is>
          <t>Tân Phú</t>
        </is>
      </c>
      <c r="D86" s="47" t="n"/>
      <c r="E86" s="20" t="n"/>
      <c r="F86" s="20" t="n"/>
      <c r="G86" s="48" t="n"/>
      <c r="H86" s="48" t="n"/>
      <c r="I86" s="49">
        <f>IF(E86=0,"",F86/E86)</f>
        <v/>
      </c>
      <c r="J86" s="22">
        <f>IF(E86=0,"",G86/E86)</f>
        <v/>
      </c>
      <c r="K86" s="22">
        <f>IF(G86=0,"",G86-H86)</f>
        <v/>
      </c>
      <c r="L86" s="49">
        <f>IF(G86=0,"",(G86-H86)/G86)</f>
        <v/>
      </c>
      <c r="M86" s="50">
        <f>IF(E86=0,"",IF(I86&gt;='GIẢ ĐỊNH'!$C$8,"ĐẠT","CHƯA"))</f>
        <v/>
      </c>
    </row>
    <row r="87">
      <c r="A87" s="19" t="inlineStr">
        <is>
          <t>T07/2027</t>
        </is>
      </c>
      <c r="B87" s="19" t="inlineStr">
        <is>
          <t>Tứ Hải</t>
        </is>
      </c>
      <c r="C87" s="19" t="inlineStr">
        <is>
          <t>Trung tâm</t>
        </is>
      </c>
      <c r="D87" s="47" t="n"/>
      <c r="E87" s="20" t="n"/>
      <c r="F87" s="20" t="n"/>
      <c r="G87" s="48" t="n"/>
      <c r="H87" s="48" t="n"/>
      <c r="I87" s="49">
        <f>IF(E87=0,"",F87/E87)</f>
        <v/>
      </c>
      <c r="J87" s="22">
        <f>IF(E87=0,"",G87/E87)</f>
        <v/>
      </c>
      <c r="K87" s="22">
        <f>IF(G87=0,"",G87-H87)</f>
        <v/>
      </c>
      <c r="L87" s="49">
        <f>IF(G87=0,"",(G87-H87)/G87)</f>
        <v/>
      </c>
      <c r="M87" s="50">
        <f>IF(E87=0,"",IF(I87&gt;='GIẢ ĐỊNH'!$C$8,"ĐẠT","CHƯA"))</f>
        <v/>
      </c>
    </row>
    <row r="88">
      <c r="A88" s="19" t="inlineStr">
        <is>
          <t>T07/2027</t>
        </is>
      </c>
      <c r="B88" s="19" t="inlineStr">
        <is>
          <t>Phó Cơ Điều</t>
        </is>
      </c>
      <c r="C88" s="19" t="inlineStr">
        <is>
          <t>Trung tâm</t>
        </is>
      </c>
      <c r="D88" s="47" t="n"/>
      <c r="E88" s="20" t="n"/>
      <c r="F88" s="20" t="n"/>
      <c r="G88" s="48" t="n"/>
      <c r="H88" s="48" t="n"/>
      <c r="I88" s="49">
        <f>IF(E88=0,"",F88/E88)</f>
        <v/>
      </c>
      <c r="J88" s="22">
        <f>IF(E88=0,"",G88/E88)</f>
        <v/>
      </c>
      <c r="K88" s="22">
        <f>IF(G88=0,"",G88-H88)</f>
        <v/>
      </c>
      <c r="L88" s="49">
        <f>IF(G88=0,"",(G88-H88)/G88)</f>
        <v/>
      </c>
      <c r="M88" s="50">
        <f>IF(E88=0,"",IF(I88&gt;='GIẢ ĐỊNH'!$C$8,"ĐẠT","CHƯA"))</f>
        <v/>
      </c>
    </row>
    <row r="89">
      <c r="A89" s="19" t="inlineStr">
        <is>
          <t>T07/2027</t>
        </is>
      </c>
      <c r="B89" s="19" t="inlineStr">
        <is>
          <t>Khuông Việt</t>
        </is>
      </c>
      <c r="C89" s="19" t="inlineStr">
        <is>
          <t>Tân Phú</t>
        </is>
      </c>
      <c r="D89" s="47" t="n"/>
      <c r="E89" s="20" t="n"/>
      <c r="F89" s="20" t="n"/>
      <c r="G89" s="48" t="n"/>
      <c r="H89" s="48" t="n"/>
      <c r="I89" s="49">
        <f>IF(E89=0,"",F89/E89)</f>
        <v/>
      </c>
      <c r="J89" s="22">
        <f>IF(E89=0,"",G89/E89)</f>
        <v/>
      </c>
      <c r="K89" s="22">
        <f>IF(G89=0,"",G89-H89)</f>
        <v/>
      </c>
      <c r="L89" s="49">
        <f>IF(G89=0,"",(G89-H89)/G89)</f>
        <v/>
      </c>
      <c r="M89" s="50">
        <f>IF(E89=0,"",IF(I89&gt;='GIẢ ĐỊNH'!$C$8,"ĐẠT","CHƯA"))</f>
        <v/>
      </c>
    </row>
    <row r="90">
      <c r="A90" s="19" t="inlineStr">
        <is>
          <t>T07/2027</t>
        </is>
      </c>
      <c r="B90" s="19" t="inlineStr">
        <is>
          <t>Gò Dầu</t>
        </is>
      </c>
      <c r="C90" s="19" t="inlineStr">
        <is>
          <t>Tân Phú</t>
        </is>
      </c>
      <c r="D90" s="47" t="n"/>
      <c r="E90" s="20" t="n"/>
      <c r="F90" s="20" t="n"/>
      <c r="G90" s="48" t="n"/>
      <c r="H90" s="48" t="n"/>
      <c r="I90" s="49">
        <f>IF(E90=0,"",F90/E90)</f>
        <v/>
      </c>
      <c r="J90" s="22">
        <f>IF(E90=0,"",G90/E90)</f>
        <v/>
      </c>
      <c r="K90" s="22">
        <f>IF(G90=0,"",G90-H90)</f>
        <v/>
      </c>
      <c r="L90" s="49">
        <f>IF(G90=0,"",(G90-H90)/G90)</f>
        <v/>
      </c>
      <c r="M90" s="50">
        <f>IF(E90=0,"",IF(I90&gt;='GIẢ ĐỊNH'!$C$8,"ĐẠT","CHƯA"))</f>
        <v/>
      </c>
    </row>
    <row r="91">
      <c r="A91" s="19" t="inlineStr">
        <is>
          <t>T07/2027</t>
        </is>
      </c>
      <c r="B91" s="19" t="inlineStr">
        <is>
          <t>Lê Thị Nho</t>
        </is>
      </c>
      <c r="C91" s="19" t="inlineStr">
        <is>
          <t>Lê Thị Nho</t>
        </is>
      </c>
      <c r="D91" s="47" t="n"/>
      <c r="E91" s="20" t="n"/>
      <c r="F91" s="20" t="n"/>
      <c r="G91" s="48" t="n"/>
      <c r="H91" s="48" t="n"/>
      <c r="I91" s="49">
        <f>IF(E91=0,"",F91/E91)</f>
        <v/>
      </c>
      <c r="J91" s="22">
        <f>IF(E91=0,"",G91/E91)</f>
        <v/>
      </c>
      <c r="K91" s="22">
        <f>IF(G91=0,"",G91-H91)</f>
        <v/>
      </c>
      <c r="L91" s="49">
        <f>IF(G91=0,"",(G91-H91)/G91)</f>
        <v/>
      </c>
      <c r="M91" s="50">
        <f>IF(E91=0,"",IF(I91&gt;='GIẢ ĐỊNH'!$C$8,"ĐẠT","CHƯA"))</f>
        <v/>
      </c>
    </row>
    <row r="92">
      <c r="A92" s="19" t="inlineStr">
        <is>
          <t>T07/2027</t>
        </is>
      </c>
      <c r="B92" s="19" t="inlineStr">
        <is>
          <t>Đỗ Thừa Luông</t>
        </is>
      </c>
      <c r="C92" s="19" t="inlineStr">
        <is>
          <t>Tân Phú</t>
        </is>
      </c>
      <c r="D92" s="47" t="n"/>
      <c r="E92" s="20" t="n"/>
      <c r="F92" s="20" t="n"/>
      <c r="G92" s="48" t="n"/>
      <c r="H92" s="48" t="n"/>
      <c r="I92" s="49">
        <f>IF(E92=0,"",F92/E92)</f>
        <v/>
      </c>
      <c r="J92" s="22">
        <f>IF(E92=0,"",G92/E92)</f>
        <v/>
      </c>
      <c r="K92" s="22">
        <f>IF(G92=0,"",G92-H92)</f>
        <v/>
      </c>
      <c r="L92" s="49">
        <f>IF(G92=0,"",(G92-H92)/G92)</f>
        <v/>
      </c>
      <c r="M92" s="50">
        <f>IF(E92=0,"",IF(I92&gt;='GIẢ ĐỊNH'!$C$8,"ĐẠT","CHƯA"))</f>
        <v/>
      </c>
    </row>
    <row r="93">
      <c r="A93" s="19" t="inlineStr">
        <is>
          <t>T08/2027</t>
        </is>
      </c>
      <c r="B93" s="19" t="inlineStr">
        <is>
          <t>Điện Biên Phủ</t>
        </is>
      </c>
      <c r="C93" s="19" t="inlineStr">
        <is>
          <t>Trung tâm</t>
        </is>
      </c>
      <c r="D93" s="47" t="n"/>
      <c r="E93" s="20" t="n"/>
      <c r="F93" s="20" t="n"/>
      <c r="G93" s="48" t="n"/>
      <c r="H93" s="48" t="n"/>
      <c r="I93" s="49">
        <f>IF(E93=0,"",F93/E93)</f>
        <v/>
      </c>
      <c r="J93" s="22">
        <f>IF(E93=0,"",G93/E93)</f>
        <v/>
      </c>
      <c r="K93" s="22">
        <f>IF(G93=0,"",G93-H93)</f>
        <v/>
      </c>
      <c r="L93" s="49">
        <f>IF(G93=0,"",(G93-H93)/G93)</f>
        <v/>
      </c>
      <c r="M93" s="50">
        <f>IF(E93=0,"",IF(I93&gt;='GIẢ ĐỊNH'!$C$8,"ĐẠT","CHƯA"))</f>
        <v/>
      </c>
    </row>
    <row r="94">
      <c r="A94" s="19" t="inlineStr">
        <is>
          <t>T08/2027</t>
        </is>
      </c>
      <c r="B94" s="19" t="inlineStr">
        <is>
          <t>Vườn Lài</t>
        </is>
      </c>
      <c r="C94" s="19" t="inlineStr">
        <is>
          <t>Tân Phú</t>
        </is>
      </c>
      <c r="D94" s="47" t="n"/>
      <c r="E94" s="20" t="n"/>
      <c r="F94" s="20" t="n"/>
      <c r="G94" s="48" t="n"/>
      <c r="H94" s="48" t="n"/>
      <c r="I94" s="49">
        <f>IF(E94=0,"",F94/E94)</f>
        <v/>
      </c>
      <c r="J94" s="22">
        <f>IF(E94=0,"",G94/E94)</f>
        <v/>
      </c>
      <c r="K94" s="22">
        <f>IF(G94=0,"",G94-H94)</f>
        <v/>
      </c>
      <c r="L94" s="49">
        <f>IF(G94=0,"",(G94-H94)/G94)</f>
        <v/>
      </c>
      <c r="M94" s="50">
        <f>IF(E94=0,"",IF(I94&gt;='GIẢ ĐỊNH'!$C$8,"ĐẠT","CHƯA"))</f>
        <v/>
      </c>
    </row>
    <row r="95">
      <c r="A95" s="19" t="inlineStr">
        <is>
          <t>T08/2027</t>
        </is>
      </c>
      <c r="B95" s="19" t="inlineStr">
        <is>
          <t>Tứ Hải</t>
        </is>
      </c>
      <c r="C95" s="19" t="inlineStr">
        <is>
          <t>Trung tâm</t>
        </is>
      </c>
      <c r="D95" s="47" t="n"/>
      <c r="E95" s="20" t="n"/>
      <c r="F95" s="20" t="n"/>
      <c r="G95" s="48" t="n"/>
      <c r="H95" s="48" t="n"/>
      <c r="I95" s="49">
        <f>IF(E95=0,"",F95/E95)</f>
        <v/>
      </c>
      <c r="J95" s="22">
        <f>IF(E95=0,"",G95/E95)</f>
        <v/>
      </c>
      <c r="K95" s="22">
        <f>IF(G95=0,"",G95-H95)</f>
        <v/>
      </c>
      <c r="L95" s="49">
        <f>IF(G95=0,"",(G95-H95)/G95)</f>
        <v/>
      </c>
      <c r="M95" s="50">
        <f>IF(E95=0,"",IF(I95&gt;='GIẢ ĐỊNH'!$C$8,"ĐẠT","CHƯA"))</f>
        <v/>
      </c>
    </row>
    <row r="96">
      <c r="A96" s="19" t="inlineStr">
        <is>
          <t>T08/2027</t>
        </is>
      </c>
      <c r="B96" s="19" t="inlineStr">
        <is>
          <t>Phó Cơ Điều</t>
        </is>
      </c>
      <c r="C96" s="19" t="inlineStr">
        <is>
          <t>Trung tâm</t>
        </is>
      </c>
      <c r="D96" s="47" t="n"/>
      <c r="E96" s="20" t="n"/>
      <c r="F96" s="20" t="n"/>
      <c r="G96" s="48" t="n"/>
      <c r="H96" s="48" t="n"/>
      <c r="I96" s="49">
        <f>IF(E96=0,"",F96/E96)</f>
        <v/>
      </c>
      <c r="J96" s="22">
        <f>IF(E96=0,"",G96/E96)</f>
        <v/>
      </c>
      <c r="K96" s="22">
        <f>IF(G96=0,"",G96-H96)</f>
        <v/>
      </c>
      <c r="L96" s="49">
        <f>IF(G96=0,"",(G96-H96)/G96)</f>
        <v/>
      </c>
      <c r="M96" s="50">
        <f>IF(E96=0,"",IF(I96&gt;='GIẢ ĐỊNH'!$C$8,"ĐẠT","CHƯA"))</f>
        <v/>
      </c>
    </row>
    <row r="97">
      <c r="A97" s="19" t="inlineStr">
        <is>
          <t>T08/2027</t>
        </is>
      </c>
      <c r="B97" s="19" t="inlineStr">
        <is>
          <t>Khuông Việt</t>
        </is>
      </c>
      <c r="C97" s="19" t="inlineStr">
        <is>
          <t>Tân Phú</t>
        </is>
      </c>
      <c r="D97" s="47" t="n"/>
      <c r="E97" s="20" t="n"/>
      <c r="F97" s="20" t="n"/>
      <c r="G97" s="48" t="n"/>
      <c r="H97" s="48" t="n"/>
      <c r="I97" s="49">
        <f>IF(E97=0,"",F97/E97)</f>
        <v/>
      </c>
      <c r="J97" s="22">
        <f>IF(E97=0,"",G97/E97)</f>
        <v/>
      </c>
      <c r="K97" s="22">
        <f>IF(G97=0,"",G97-H97)</f>
        <v/>
      </c>
      <c r="L97" s="49">
        <f>IF(G97=0,"",(G97-H97)/G97)</f>
        <v/>
      </c>
      <c r="M97" s="50">
        <f>IF(E97=0,"",IF(I97&gt;='GIẢ ĐỊNH'!$C$8,"ĐẠT","CHƯA"))</f>
        <v/>
      </c>
    </row>
    <row r="98">
      <c r="A98" s="19" t="inlineStr">
        <is>
          <t>T08/2027</t>
        </is>
      </c>
      <c r="B98" s="19" t="inlineStr">
        <is>
          <t>Gò Dầu</t>
        </is>
      </c>
      <c r="C98" s="19" t="inlineStr">
        <is>
          <t>Tân Phú</t>
        </is>
      </c>
      <c r="D98" s="47" t="n"/>
      <c r="E98" s="20" t="n"/>
      <c r="F98" s="20" t="n"/>
      <c r="G98" s="48" t="n"/>
      <c r="H98" s="48" t="n"/>
      <c r="I98" s="49">
        <f>IF(E98=0,"",F98/E98)</f>
        <v/>
      </c>
      <c r="J98" s="22">
        <f>IF(E98=0,"",G98/E98)</f>
        <v/>
      </c>
      <c r="K98" s="22">
        <f>IF(G98=0,"",G98-H98)</f>
        <v/>
      </c>
      <c r="L98" s="49">
        <f>IF(G98=0,"",(G98-H98)/G98)</f>
        <v/>
      </c>
      <c r="M98" s="50">
        <f>IF(E98=0,"",IF(I98&gt;='GIẢ ĐỊNH'!$C$8,"ĐẠT","CHƯA"))</f>
        <v/>
      </c>
    </row>
    <row r="99">
      <c r="A99" s="19" t="inlineStr">
        <is>
          <t>T08/2027</t>
        </is>
      </c>
      <c r="B99" s="19" t="inlineStr">
        <is>
          <t>Lê Thị Nho</t>
        </is>
      </c>
      <c r="C99" s="19" t="inlineStr">
        <is>
          <t>Lê Thị Nho</t>
        </is>
      </c>
      <c r="D99" s="47" t="n"/>
      <c r="E99" s="20" t="n"/>
      <c r="F99" s="20" t="n"/>
      <c r="G99" s="48" t="n"/>
      <c r="H99" s="48" t="n"/>
      <c r="I99" s="49">
        <f>IF(E99=0,"",F99/E99)</f>
        <v/>
      </c>
      <c r="J99" s="22">
        <f>IF(E99=0,"",G99/E99)</f>
        <v/>
      </c>
      <c r="K99" s="22">
        <f>IF(G99=0,"",G99-H99)</f>
        <v/>
      </c>
      <c r="L99" s="49">
        <f>IF(G99=0,"",(G99-H99)/G99)</f>
        <v/>
      </c>
      <c r="M99" s="50">
        <f>IF(E99=0,"",IF(I99&gt;='GIẢ ĐỊNH'!$C$8,"ĐẠT","CHƯA"))</f>
        <v/>
      </c>
    </row>
    <row r="100">
      <c r="A100" s="19" t="inlineStr">
        <is>
          <t>T08/2027</t>
        </is>
      </c>
      <c r="B100" s="19" t="inlineStr">
        <is>
          <t>Đỗ Thừa Luông</t>
        </is>
      </c>
      <c r="C100" s="19" t="inlineStr">
        <is>
          <t>Tân Phú</t>
        </is>
      </c>
      <c r="D100" s="47" t="n"/>
      <c r="E100" s="20" t="n"/>
      <c r="F100" s="20" t="n"/>
      <c r="G100" s="48" t="n"/>
      <c r="H100" s="48" t="n"/>
      <c r="I100" s="49">
        <f>IF(E100=0,"",F100/E100)</f>
        <v/>
      </c>
      <c r="J100" s="22">
        <f>IF(E100=0,"",G100/E100)</f>
        <v/>
      </c>
      <c r="K100" s="22">
        <f>IF(G100=0,"",G100-H100)</f>
        <v/>
      </c>
      <c r="L100" s="49">
        <f>IF(G100=0,"",(G100-H100)/G100)</f>
        <v/>
      </c>
      <c r="M100" s="50">
        <f>IF(E100=0,"",IF(I100&gt;='GIẢ ĐỊNH'!$C$8,"ĐẠT","CHƯA"))</f>
        <v/>
      </c>
    </row>
    <row r="101">
      <c r="A101" s="19" t="inlineStr">
        <is>
          <t>T09/2027</t>
        </is>
      </c>
      <c r="B101" s="19" t="inlineStr">
        <is>
          <t>Điện Biên Phủ</t>
        </is>
      </c>
      <c r="C101" s="19" t="inlineStr">
        <is>
          <t>Trung tâm</t>
        </is>
      </c>
      <c r="D101" s="47" t="n"/>
      <c r="E101" s="20" t="n"/>
      <c r="F101" s="20" t="n"/>
      <c r="G101" s="48" t="n"/>
      <c r="H101" s="48" t="n"/>
      <c r="I101" s="49">
        <f>IF(E101=0,"",F101/E101)</f>
        <v/>
      </c>
      <c r="J101" s="22">
        <f>IF(E101=0,"",G101/E101)</f>
        <v/>
      </c>
      <c r="K101" s="22">
        <f>IF(G101=0,"",G101-H101)</f>
        <v/>
      </c>
      <c r="L101" s="49">
        <f>IF(G101=0,"",(G101-H101)/G101)</f>
        <v/>
      </c>
      <c r="M101" s="50">
        <f>IF(E101=0,"",IF(I101&gt;='GIẢ ĐỊNH'!$C$8,"ĐẠT","CHƯA"))</f>
        <v/>
      </c>
    </row>
    <row r="102">
      <c r="A102" s="19" t="inlineStr">
        <is>
          <t>T09/2027</t>
        </is>
      </c>
      <c r="B102" s="19" t="inlineStr">
        <is>
          <t>Vườn Lài</t>
        </is>
      </c>
      <c r="C102" s="19" t="inlineStr">
        <is>
          <t>Tân Phú</t>
        </is>
      </c>
      <c r="D102" s="47" t="n"/>
      <c r="E102" s="20" t="n"/>
      <c r="F102" s="20" t="n"/>
      <c r="G102" s="48" t="n"/>
      <c r="H102" s="48" t="n"/>
      <c r="I102" s="49">
        <f>IF(E102=0,"",F102/E102)</f>
        <v/>
      </c>
      <c r="J102" s="22">
        <f>IF(E102=0,"",G102/E102)</f>
        <v/>
      </c>
      <c r="K102" s="22">
        <f>IF(G102=0,"",G102-H102)</f>
        <v/>
      </c>
      <c r="L102" s="49">
        <f>IF(G102=0,"",(G102-H102)/G102)</f>
        <v/>
      </c>
      <c r="M102" s="50">
        <f>IF(E102=0,"",IF(I102&gt;='GIẢ ĐỊNH'!$C$8,"ĐẠT","CHƯA"))</f>
        <v/>
      </c>
    </row>
    <row r="103">
      <c r="A103" s="19" t="inlineStr">
        <is>
          <t>T09/2027</t>
        </is>
      </c>
      <c r="B103" s="19" t="inlineStr">
        <is>
          <t>Tứ Hải</t>
        </is>
      </c>
      <c r="C103" s="19" t="inlineStr">
        <is>
          <t>Trung tâm</t>
        </is>
      </c>
      <c r="D103" s="47" t="n"/>
      <c r="E103" s="20" t="n"/>
      <c r="F103" s="20" t="n"/>
      <c r="G103" s="48" t="n"/>
      <c r="H103" s="48" t="n"/>
      <c r="I103" s="49">
        <f>IF(E103=0,"",F103/E103)</f>
        <v/>
      </c>
      <c r="J103" s="22">
        <f>IF(E103=0,"",G103/E103)</f>
        <v/>
      </c>
      <c r="K103" s="22">
        <f>IF(G103=0,"",G103-H103)</f>
        <v/>
      </c>
      <c r="L103" s="49">
        <f>IF(G103=0,"",(G103-H103)/G103)</f>
        <v/>
      </c>
      <c r="M103" s="50">
        <f>IF(E103=0,"",IF(I103&gt;='GIẢ ĐỊNH'!$C$8,"ĐẠT","CHƯA"))</f>
        <v/>
      </c>
    </row>
    <row r="104">
      <c r="A104" s="19" t="inlineStr">
        <is>
          <t>T09/2027</t>
        </is>
      </c>
      <c r="B104" s="19" t="inlineStr">
        <is>
          <t>Phó Cơ Điều</t>
        </is>
      </c>
      <c r="C104" s="19" t="inlineStr">
        <is>
          <t>Trung tâm</t>
        </is>
      </c>
      <c r="D104" s="47" t="n"/>
      <c r="E104" s="20" t="n"/>
      <c r="F104" s="20" t="n"/>
      <c r="G104" s="48" t="n"/>
      <c r="H104" s="48" t="n"/>
      <c r="I104" s="49">
        <f>IF(E104=0,"",F104/E104)</f>
        <v/>
      </c>
      <c r="J104" s="22">
        <f>IF(E104=0,"",G104/E104)</f>
        <v/>
      </c>
      <c r="K104" s="22">
        <f>IF(G104=0,"",G104-H104)</f>
        <v/>
      </c>
      <c r="L104" s="49">
        <f>IF(G104=0,"",(G104-H104)/G104)</f>
        <v/>
      </c>
      <c r="M104" s="50">
        <f>IF(E104=0,"",IF(I104&gt;='GIẢ ĐỊNH'!$C$8,"ĐẠT","CHƯA"))</f>
        <v/>
      </c>
    </row>
    <row r="105">
      <c r="A105" s="19" t="inlineStr">
        <is>
          <t>T09/2027</t>
        </is>
      </c>
      <c r="B105" s="19" t="inlineStr">
        <is>
          <t>Khuông Việt</t>
        </is>
      </c>
      <c r="C105" s="19" t="inlineStr">
        <is>
          <t>Tân Phú</t>
        </is>
      </c>
      <c r="D105" s="47" t="n"/>
      <c r="E105" s="20" t="n"/>
      <c r="F105" s="20" t="n"/>
      <c r="G105" s="48" t="n"/>
      <c r="H105" s="48" t="n"/>
      <c r="I105" s="49">
        <f>IF(E105=0,"",F105/E105)</f>
        <v/>
      </c>
      <c r="J105" s="22">
        <f>IF(E105=0,"",G105/E105)</f>
        <v/>
      </c>
      <c r="K105" s="22">
        <f>IF(G105=0,"",G105-H105)</f>
        <v/>
      </c>
      <c r="L105" s="49">
        <f>IF(G105=0,"",(G105-H105)/G105)</f>
        <v/>
      </c>
      <c r="M105" s="50">
        <f>IF(E105=0,"",IF(I105&gt;='GIẢ ĐỊNH'!$C$8,"ĐẠT","CHƯA"))</f>
        <v/>
      </c>
    </row>
    <row r="106">
      <c r="A106" s="19" t="inlineStr">
        <is>
          <t>T09/2027</t>
        </is>
      </c>
      <c r="B106" s="19" t="inlineStr">
        <is>
          <t>Gò Dầu</t>
        </is>
      </c>
      <c r="C106" s="19" t="inlineStr">
        <is>
          <t>Tân Phú</t>
        </is>
      </c>
      <c r="D106" s="47" t="n"/>
      <c r="E106" s="20" t="n"/>
      <c r="F106" s="20" t="n"/>
      <c r="G106" s="48" t="n"/>
      <c r="H106" s="48" t="n"/>
      <c r="I106" s="49">
        <f>IF(E106=0,"",F106/E106)</f>
        <v/>
      </c>
      <c r="J106" s="22">
        <f>IF(E106=0,"",G106/E106)</f>
        <v/>
      </c>
      <c r="K106" s="22">
        <f>IF(G106=0,"",G106-H106)</f>
        <v/>
      </c>
      <c r="L106" s="49">
        <f>IF(G106=0,"",(G106-H106)/G106)</f>
        <v/>
      </c>
      <c r="M106" s="50">
        <f>IF(E106=0,"",IF(I106&gt;='GIẢ ĐỊNH'!$C$8,"ĐẠT","CHƯA"))</f>
        <v/>
      </c>
    </row>
    <row r="107">
      <c r="A107" s="19" t="inlineStr">
        <is>
          <t>T09/2027</t>
        </is>
      </c>
      <c r="B107" s="19" t="inlineStr">
        <is>
          <t>Lê Thị Nho</t>
        </is>
      </c>
      <c r="C107" s="19" t="inlineStr">
        <is>
          <t>Lê Thị Nho</t>
        </is>
      </c>
      <c r="D107" s="47" t="n"/>
      <c r="E107" s="20" t="n"/>
      <c r="F107" s="20" t="n"/>
      <c r="G107" s="48" t="n"/>
      <c r="H107" s="48" t="n"/>
      <c r="I107" s="49">
        <f>IF(E107=0,"",F107/E107)</f>
        <v/>
      </c>
      <c r="J107" s="22">
        <f>IF(E107=0,"",G107/E107)</f>
        <v/>
      </c>
      <c r="K107" s="22">
        <f>IF(G107=0,"",G107-H107)</f>
        <v/>
      </c>
      <c r="L107" s="49">
        <f>IF(G107=0,"",(G107-H107)/G107)</f>
        <v/>
      </c>
      <c r="M107" s="50">
        <f>IF(E107=0,"",IF(I107&gt;='GIẢ ĐỊNH'!$C$8,"ĐẠT","CHƯA"))</f>
        <v/>
      </c>
    </row>
    <row r="108">
      <c r="A108" s="19" t="inlineStr">
        <is>
          <t>T09/2027</t>
        </is>
      </c>
      <c r="B108" s="19" t="inlineStr">
        <is>
          <t>Đỗ Thừa Luông</t>
        </is>
      </c>
      <c r="C108" s="19" t="inlineStr">
        <is>
          <t>Tân Phú</t>
        </is>
      </c>
      <c r="D108" s="47" t="n"/>
      <c r="E108" s="20" t="n"/>
      <c r="F108" s="20" t="n"/>
      <c r="G108" s="48" t="n"/>
      <c r="H108" s="48" t="n"/>
      <c r="I108" s="49">
        <f>IF(E108=0,"",F108/E108)</f>
        <v/>
      </c>
      <c r="J108" s="22">
        <f>IF(E108=0,"",G108/E108)</f>
        <v/>
      </c>
      <c r="K108" s="22">
        <f>IF(G108=0,"",G108-H108)</f>
        <v/>
      </c>
      <c r="L108" s="49">
        <f>IF(G108=0,"",(G108-H108)/G108)</f>
        <v/>
      </c>
      <c r="M108" s="50">
        <f>IF(E108=0,"",IF(I108&gt;='GIẢ ĐỊNH'!$C$8,"ĐẠT","CHƯA"))</f>
        <v/>
      </c>
    </row>
    <row r="109">
      <c r="A109" s="19" t="inlineStr">
        <is>
          <t>T10/2027</t>
        </is>
      </c>
      <c r="B109" s="19" t="inlineStr">
        <is>
          <t>Điện Biên Phủ</t>
        </is>
      </c>
      <c r="C109" s="19" t="inlineStr">
        <is>
          <t>Trung tâm</t>
        </is>
      </c>
      <c r="D109" s="47" t="n"/>
      <c r="E109" s="20" t="n"/>
      <c r="F109" s="20" t="n"/>
      <c r="G109" s="48" t="n"/>
      <c r="H109" s="48" t="n"/>
      <c r="I109" s="49">
        <f>IF(E109=0,"",F109/E109)</f>
        <v/>
      </c>
      <c r="J109" s="22">
        <f>IF(E109=0,"",G109/E109)</f>
        <v/>
      </c>
      <c r="K109" s="22">
        <f>IF(G109=0,"",G109-H109)</f>
        <v/>
      </c>
      <c r="L109" s="49">
        <f>IF(G109=0,"",(G109-H109)/G109)</f>
        <v/>
      </c>
      <c r="M109" s="50">
        <f>IF(E109=0,"",IF(I109&gt;='GIẢ ĐỊNH'!$C$8,"ĐẠT","CHƯA"))</f>
        <v/>
      </c>
    </row>
    <row r="110">
      <c r="A110" s="19" t="inlineStr">
        <is>
          <t>T10/2027</t>
        </is>
      </c>
      <c r="B110" s="19" t="inlineStr">
        <is>
          <t>Vườn Lài</t>
        </is>
      </c>
      <c r="C110" s="19" t="inlineStr">
        <is>
          <t>Tân Phú</t>
        </is>
      </c>
      <c r="D110" s="47" t="n"/>
      <c r="E110" s="20" t="n"/>
      <c r="F110" s="20" t="n"/>
      <c r="G110" s="48" t="n"/>
      <c r="H110" s="48" t="n"/>
      <c r="I110" s="49">
        <f>IF(E110=0,"",F110/E110)</f>
        <v/>
      </c>
      <c r="J110" s="22">
        <f>IF(E110=0,"",G110/E110)</f>
        <v/>
      </c>
      <c r="K110" s="22">
        <f>IF(G110=0,"",G110-H110)</f>
        <v/>
      </c>
      <c r="L110" s="49">
        <f>IF(G110=0,"",(G110-H110)/G110)</f>
        <v/>
      </c>
      <c r="M110" s="50">
        <f>IF(E110=0,"",IF(I110&gt;='GIẢ ĐỊNH'!$C$8,"ĐẠT","CHƯA"))</f>
        <v/>
      </c>
    </row>
    <row r="111">
      <c r="A111" s="19" t="inlineStr">
        <is>
          <t>T10/2027</t>
        </is>
      </c>
      <c r="B111" s="19" t="inlineStr">
        <is>
          <t>Tứ Hải</t>
        </is>
      </c>
      <c r="C111" s="19" t="inlineStr">
        <is>
          <t>Trung tâm</t>
        </is>
      </c>
      <c r="D111" s="47" t="n"/>
      <c r="E111" s="20" t="n"/>
      <c r="F111" s="20" t="n"/>
      <c r="G111" s="48" t="n"/>
      <c r="H111" s="48" t="n"/>
      <c r="I111" s="49">
        <f>IF(E111=0,"",F111/E111)</f>
        <v/>
      </c>
      <c r="J111" s="22">
        <f>IF(E111=0,"",G111/E111)</f>
        <v/>
      </c>
      <c r="K111" s="22">
        <f>IF(G111=0,"",G111-H111)</f>
        <v/>
      </c>
      <c r="L111" s="49">
        <f>IF(G111=0,"",(G111-H111)/G111)</f>
        <v/>
      </c>
      <c r="M111" s="50">
        <f>IF(E111=0,"",IF(I111&gt;='GIẢ ĐỊNH'!$C$8,"ĐẠT","CHƯA"))</f>
        <v/>
      </c>
    </row>
    <row r="112">
      <c r="A112" s="19" t="inlineStr">
        <is>
          <t>T10/2027</t>
        </is>
      </c>
      <c r="B112" s="19" t="inlineStr">
        <is>
          <t>Phó Cơ Điều</t>
        </is>
      </c>
      <c r="C112" s="19" t="inlineStr">
        <is>
          <t>Trung tâm</t>
        </is>
      </c>
      <c r="D112" s="47" t="n"/>
      <c r="E112" s="20" t="n"/>
      <c r="F112" s="20" t="n"/>
      <c r="G112" s="48" t="n"/>
      <c r="H112" s="48" t="n"/>
      <c r="I112" s="49">
        <f>IF(E112=0,"",F112/E112)</f>
        <v/>
      </c>
      <c r="J112" s="22">
        <f>IF(E112=0,"",G112/E112)</f>
        <v/>
      </c>
      <c r="K112" s="22">
        <f>IF(G112=0,"",G112-H112)</f>
        <v/>
      </c>
      <c r="L112" s="49">
        <f>IF(G112=0,"",(G112-H112)/G112)</f>
        <v/>
      </c>
      <c r="M112" s="50">
        <f>IF(E112=0,"",IF(I112&gt;='GIẢ ĐỊNH'!$C$8,"ĐẠT","CHƯA"))</f>
        <v/>
      </c>
    </row>
    <row r="113">
      <c r="A113" s="19" t="inlineStr">
        <is>
          <t>T10/2027</t>
        </is>
      </c>
      <c r="B113" s="19" t="inlineStr">
        <is>
          <t>Khuông Việt</t>
        </is>
      </c>
      <c r="C113" s="19" t="inlineStr">
        <is>
          <t>Tân Phú</t>
        </is>
      </c>
      <c r="D113" s="47" t="n"/>
      <c r="E113" s="20" t="n"/>
      <c r="F113" s="20" t="n"/>
      <c r="G113" s="48" t="n"/>
      <c r="H113" s="48" t="n"/>
      <c r="I113" s="49">
        <f>IF(E113=0,"",F113/E113)</f>
        <v/>
      </c>
      <c r="J113" s="22">
        <f>IF(E113=0,"",G113/E113)</f>
        <v/>
      </c>
      <c r="K113" s="22">
        <f>IF(G113=0,"",G113-H113)</f>
        <v/>
      </c>
      <c r="L113" s="49">
        <f>IF(G113=0,"",(G113-H113)/G113)</f>
        <v/>
      </c>
      <c r="M113" s="50">
        <f>IF(E113=0,"",IF(I113&gt;='GIẢ ĐỊNH'!$C$8,"ĐẠT","CHƯA"))</f>
        <v/>
      </c>
    </row>
    <row r="114">
      <c r="A114" s="19" t="inlineStr">
        <is>
          <t>T10/2027</t>
        </is>
      </c>
      <c r="B114" s="19" t="inlineStr">
        <is>
          <t>Gò Dầu</t>
        </is>
      </c>
      <c r="C114" s="19" t="inlineStr">
        <is>
          <t>Tân Phú</t>
        </is>
      </c>
      <c r="D114" s="47" t="n"/>
      <c r="E114" s="20" t="n"/>
      <c r="F114" s="20" t="n"/>
      <c r="G114" s="48" t="n"/>
      <c r="H114" s="48" t="n"/>
      <c r="I114" s="49">
        <f>IF(E114=0,"",F114/E114)</f>
        <v/>
      </c>
      <c r="J114" s="22">
        <f>IF(E114=0,"",G114/E114)</f>
        <v/>
      </c>
      <c r="K114" s="22">
        <f>IF(G114=0,"",G114-H114)</f>
        <v/>
      </c>
      <c r="L114" s="49">
        <f>IF(G114=0,"",(G114-H114)/G114)</f>
        <v/>
      </c>
      <c r="M114" s="50">
        <f>IF(E114=0,"",IF(I114&gt;='GIẢ ĐỊNH'!$C$8,"ĐẠT","CHƯA"))</f>
        <v/>
      </c>
    </row>
    <row r="115">
      <c r="A115" s="19" t="inlineStr">
        <is>
          <t>T10/2027</t>
        </is>
      </c>
      <c r="B115" s="19" t="inlineStr">
        <is>
          <t>Lê Thị Nho</t>
        </is>
      </c>
      <c r="C115" s="19" t="inlineStr">
        <is>
          <t>Lê Thị Nho</t>
        </is>
      </c>
      <c r="D115" s="47" t="n"/>
      <c r="E115" s="20" t="n"/>
      <c r="F115" s="20" t="n"/>
      <c r="G115" s="48" t="n"/>
      <c r="H115" s="48" t="n"/>
      <c r="I115" s="49">
        <f>IF(E115=0,"",F115/E115)</f>
        <v/>
      </c>
      <c r="J115" s="22">
        <f>IF(E115=0,"",G115/E115)</f>
        <v/>
      </c>
      <c r="K115" s="22">
        <f>IF(G115=0,"",G115-H115)</f>
        <v/>
      </c>
      <c r="L115" s="49">
        <f>IF(G115=0,"",(G115-H115)/G115)</f>
        <v/>
      </c>
      <c r="M115" s="50">
        <f>IF(E115=0,"",IF(I115&gt;='GIẢ ĐỊNH'!$C$8,"ĐẠT","CHƯA"))</f>
        <v/>
      </c>
    </row>
    <row r="116">
      <c r="A116" s="19" t="inlineStr">
        <is>
          <t>T10/2027</t>
        </is>
      </c>
      <c r="B116" s="19" t="inlineStr">
        <is>
          <t>Đỗ Thừa Luông</t>
        </is>
      </c>
      <c r="C116" s="19" t="inlineStr">
        <is>
          <t>Tân Phú</t>
        </is>
      </c>
      <c r="D116" s="47" t="n"/>
      <c r="E116" s="20" t="n"/>
      <c r="F116" s="20" t="n"/>
      <c r="G116" s="48" t="n"/>
      <c r="H116" s="48" t="n"/>
      <c r="I116" s="49">
        <f>IF(E116=0,"",F116/E116)</f>
        <v/>
      </c>
      <c r="J116" s="22">
        <f>IF(E116=0,"",G116/E116)</f>
        <v/>
      </c>
      <c r="K116" s="22">
        <f>IF(G116=0,"",G116-H116)</f>
        <v/>
      </c>
      <c r="L116" s="49">
        <f>IF(G116=0,"",(G116-H116)/G116)</f>
        <v/>
      </c>
      <c r="M116" s="50">
        <f>IF(E116=0,"",IF(I116&gt;='GIẢ ĐỊNH'!$C$8,"ĐẠT","CHƯA"))</f>
        <v/>
      </c>
    </row>
    <row r="117">
      <c r="A117" s="19" t="inlineStr">
        <is>
          <t>T11/2027</t>
        </is>
      </c>
      <c r="B117" s="19" t="inlineStr">
        <is>
          <t>Điện Biên Phủ</t>
        </is>
      </c>
      <c r="C117" s="19" t="inlineStr">
        <is>
          <t>Trung tâm</t>
        </is>
      </c>
      <c r="D117" s="47" t="n"/>
      <c r="E117" s="20" t="n"/>
      <c r="F117" s="20" t="n"/>
      <c r="G117" s="48" t="n"/>
      <c r="H117" s="48" t="n"/>
      <c r="I117" s="49">
        <f>IF(E117=0,"",F117/E117)</f>
        <v/>
      </c>
      <c r="J117" s="22">
        <f>IF(E117=0,"",G117/E117)</f>
        <v/>
      </c>
      <c r="K117" s="22">
        <f>IF(G117=0,"",G117-H117)</f>
        <v/>
      </c>
      <c r="L117" s="49">
        <f>IF(G117=0,"",(G117-H117)/G117)</f>
        <v/>
      </c>
      <c r="M117" s="50">
        <f>IF(E117=0,"",IF(I117&gt;='GIẢ ĐỊNH'!$C$8,"ĐẠT","CHƯA"))</f>
        <v/>
      </c>
    </row>
    <row r="118">
      <c r="A118" s="19" t="inlineStr">
        <is>
          <t>T11/2027</t>
        </is>
      </c>
      <c r="B118" s="19" t="inlineStr">
        <is>
          <t>Vườn Lài</t>
        </is>
      </c>
      <c r="C118" s="19" t="inlineStr">
        <is>
          <t>Tân Phú</t>
        </is>
      </c>
      <c r="D118" s="47" t="n"/>
      <c r="E118" s="20" t="n"/>
      <c r="F118" s="20" t="n"/>
      <c r="G118" s="48" t="n"/>
      <c r="H118" s="48" t="n"/>
      <c r="I118" s="49">
        <f>IF(E118=0,"",F118/E118)</f>
        <v/>
      </c>
      <c r="J118" s="22">
        <f>IF(E118=0,"",G118/E118)</f>
        <v/>
      </c>
      <c r="K118" s="22">
        <f>IF(G118=0,"",G118-H118)</f>
        <v/>
      </c>
      <c r="L118" s="49">
        <f>IF(G118=0,"",(G118-H118)/G118)</f>
        <v/>
      </c>
      <c r="M118" s="50">
        <f>IF(E118=0,"",IF(I118&gt;='GIẢ ĐỊNH'!$C$8,"ĐẠT","CHƯA"))</f>
        <v/>
      </c>
    </row>
    <row r="119">
      <c r="A119" s="19" t="inlineStr">
        <is>
          <t>T11/2027</t>
        </is>
      </c>
      <c r="B119" s="19" t="inlineStr">
        <is>
          <t>Tứ Hải</t>
        </is>
      </c>
      <c r="C119" s="19" t="inlineStr">
        <is>
          <t>Trung tâm</t>
        </is>
      </c>
      <c r="D119" s="47" t="n"/>
      <c r="E119" s="20" t="n"/>
      <c r="F119" s="20" t="n"/>
      <c r="G119" s="48" t="n"/>
      <c r="H119" s="48" t="n"/>
      <c r="I119" s="49">
        <f>IF(E119=0,"",F119/E119)</f>
        <v/>
      </c>
      <c r="J119" s="22">
        <f>IF(E119=0,"",G119/E119)</f>
        <v/>
      </c>
      <c r="K119" s="22">
        <f>IF(G119=0,"",G119-H119)</f>
        <v/>
      </c>
      <c r="L119" s="49">
        <f>IF(G119=0,"",(G119-H119)/G119)</f>
        <v/>
      </c>
      <c r="M119" s="50">
        <f>IF(E119=0,"",IF(I119&gt;='GIẢ ĐỊNH'!$C$8,"ĐẠT","CHƯA"))</f>
        <v/>
      </c>
    </row>
    <row r="120">
      <c r="A120" s="19" t="inlineStr">
        <is>
          <t>T11/2027</t>
        </is>
      </c>
      <c r="B120" s="19" t="inlineStr">
        <is>
          <t>Phó Cơ Điều</t>
        </is>
      </c>
      <c r="C120" s="19" t="inlineStr">
        <is>
          <t>Trung tâm</t>
        </is>
      </c>
      <c r="D120" s="47" t="n"/>
      <c r="E120" s="20" t="n"/>
      <c r="F120" s="20" t="n"/>
      <c r="G120" s="48" t="n"/>
      <c r="H120" s="48" t="n"/>
      <c r="I120" s="49">
        <f>IF(E120=0,"",F120/E120)</f>
        <v/>
      </c>
      <c r="J120" s="22">
        <f>IF(E120=0,"",G120/E120)</f>
        <v/>
      </c>
      <c r="K120" s="22">
        <f>IF(G120=0,"",G120-H120)</f>
        <v/>
      </c>
      <c r="L120" s="49">
        <f>IF(G120=0,"",(G120-H120)/G120)</f>
        <v/>
      </c>
      <c r="M120" s="50">
        <f>IF(E120=0,"",IF(I120&gt;='GIẢ ĐỊNH'!$C$8,"ĐẠT","CHƯA"))</f>
        <v/>
      </c>
    </row>
    <row r="121">
      <c r="A121" s="19" t="inlineStr">
        <is>
          <t>T11/2027</t>
        </is>
      </c>
      <c r="B121" s="19" t="inlineStr">
        <is>
          <t>Khuông Việt</t>
        </is>
      </c>
      <c r="C121" s="19" t="inlineStr">
        <is>
          <t>Tân Phú</t>
        </is>
      </c>
      <c r="D121" s="47" t="n"/>
      <c r="E121" s="20" t="n"/>
      <c r="F121" s="20" t="n"/>
      <c r="G121" s="48" t="n"/>
      <c r="H121" s="48" t="n"/>
      <c r="I121" s="49">
        <f>IF(E121=0,"",F121/E121)</f>
        <v/>
      </c>
      <c r="J121" s="22">
        <f>IF(E121=0,"",G121/E121)</f>
        <v/>
      </c>
      <c r="K121" s="22">
        <f>IF(G121=0,"",G121-H121)</f>
        <v/>
      </c>
      <c r="L121" s="49">
        <f>IF(G121=0,"",(G121-H121)/G121)</f>
        <v/>
      </c>
      <c r="M121" s="50">
        <f>IF(E121=0,"",IF(I121&gt;='GIẢ ĐỊNH'!$C$8,"ĐẠT","CHƯA"))</f>
        <v/>
      </c>
    </row>
    <row r="122">
      <c r="A122" s="19" t="inlineStr">
        <is>
          <t>T11/2027</t>
        </is>
      </c>
      <c r="B122" s="19" t="inlineStr">
        <is>
          <t>Gò Dầu</t>
        </is>
      </c>
      <c r="C122" s="19" t="inlineStr">
        <is>
          <t>Tân Phú</t>
        </is>
      </c>
      <c r="D122" s="47" t="n"/>
      <c r="E122" s="20" t="n"/>
      <c r="F122" s="20" t="n"/>
      <c r="G122" s="48" t="n"/>
      <c r="H122" s="48" t="n"/>
      <c r="I122" s="49">
        <f>IF(E122=0,"",F122/E122)</f>
        <v/>
      </c>
      <c r="J122" s="22">
        <f>IF(E122=0,"",G122/E122)</f>
        <v/>
      </c>
      <c r="K122" s="22">
        <f>IF(G122=0,"",G122-H122)</f>
        <v/>
      </c>
      <c r="L122" s="49">
        <f>IF(G122=0,"",(G122-H122)/G122)</f>
        <v/>
      </c>
      <c r="M122" s="50">
        <f>IF(E122=0,"",IF(I122&gt;='GIẢ ĐỊNH'!$C$8,"ĐẠT","CHƯA"))</f>
        <v/>
      </c>
    </row>
    <row r="123">
      <c r="A123" s="19" t="inlineStr">
        <is>
          <t>T11/2027</t>
        </is>
      </c>
      <c r="B123" s="19" t="inlineStr">
        <is>
          <t>Lê Thị Nho</t>
        </is>
      </c>
      <c r="C123" s="19" t="inlineStr">
        <is>
          <t>Lê Thị Nho</t>
        </is>
      </c>
      <c r="D123" s="47" t="n"/>
      <c r="E123" s="20" t="n"/>
      <c r="F123" s="20" t="n"/>
      <c r="G123" s="48" t="n"/>
      <c r="H123" s="48" t="n"/>
      <c r="I123" s="49">
        <f>IF(E123=0,"",F123/E123)</f>
        <v/>
      </c>
      <c r="J123" s="22">
        <f>IF(E123=0,"",G123/E123)</f>
        <v/>
      </c>
      <c r="K123" s="22">
        <f>IF(G123=0,"",G123-H123)</f>
        <v/>
      </c>
      <c r="L123" s="49">
        <f>IF(G123=0,"",(G123-H123)/G123)</f>
        <v/>
      </c>
      <c r="M123" s="50">
        <f>IF(E123=0,"",IF(I123&gt;='GIẢ ĐỊNH'!$C$8,"ĐẠT","CHƯA"))</f>
        <v/>
      </c>
    </row>
    <row r="124">
      <c r="A124" s="19" t="inlineStr">
        <is>
          <t>T11/2027</t>
        </is>
      </c>
      <c r="B124" s="19" t="inlineStr">
        <is>
          <t>Đỗ Thừa Luông</t>
        </is>
      </c>
      <c r="C124" s="19" t="inlineStr">
        <is>
          <t>Tân Phú</t>
        </is>
      </c>
      <c r="D124" s="47" t="n"/>
      <c r="E124" s="20" t="n"/>
      <c r="F124" s="20" t="n"/>
      <c r="G124" s="48" t="n"/>
      <c r="H124" s="48" t="n"/>
      <c r="I124" s="49">
        <f>IF(E124=0,"",F124/E124)</f>
        <v/>
      </c>
      <c r="J124" s="22">
        <f>IF(E124=0,"",G124/E124)</f>
        <v/>
      </c>
      <c r="K124" s="22">
        <f>IF(G124=0,"",G124-H124)</f>
        <v/>
      </c>
      <c r="L124" s="49">
        <f>IF(G124=0,"",(G124-H124)/G124)</f>
        <v/>
      </c>
      <c r="M124" s="50">
        <f>IF(E124=0,"",IF(I124&gt;='GIẢ ĐỊNH'!$C$8,"ĐẠT","CHƯA"))</f>
        <v/>
      </c>
    </row>
    <row r="125">
      <c r="A125" s="19" t="inlineStr">
        <is>
          <t>T12/2027</t>
        </is>
      </c>
      <c r="B125" s="19" t="inlineStr">
        <is>
          <t>Điện Biên Phủ</t>
        </is>
      </c>
      <c r="C125" s="19" t="inlineStr">
        <is>
          <t>Trung tâm</t>
        </is>
      </c>
      <c r="D125" s="47" t="n"/>
      <c r="E125" s="20" t="n"/>
      <c r="F125" s="20" t="n"/>
      <c r="G125" s="48" t="n"/>
      <c r="H125" s="48" t="n"/>
      <c r="I125" s="49">
        <f>IF(E125=0,"",F125/E125)</f>
        <v/>
      </c>
      <c r="J125" s="22">
        <f>IF(E125=0,"",G125/E125)</f>
        <v/>
      </c>
      <c r="K125" s="22">
        <f>IF(G125=0,"",G125-H125)</f>
        <v/>
      </c>
      <c r="L125" s="49">
        <f>IF(G125=0,"",(G125-H125)/G125)</f>
        <v/>
      </c>
      <c r="M125" s="50">
        <f>IF(E125=0,"",IF(I125&gt;='GIẢ ĐỊNH'!$C$8,"ĐẠT","CHƯA"))</f>
        <v/>
      </c>
    </row>
    <row r="126">
      <c r="A126" s="19" t="inlineStr">
        <is>
          <t>T12/2027</t>
        </is>
      </c>
      <c r="B126" s="19" t="inlineStr">
        <is>
          <t>Vườn Lài</t>
        </is>
      </c>
      <c r="C126" s="19" t="inlineStr">
        <is>
          <t>Tân Phú</t>
        </is>
      </c>
      <c r="D126" s="47" t="n"/>
      <c r="E126" s="20" t="n"/>
      <c r="F126" s="20" t="n"/>
      <c r="G126" s="48" t="n"/>
      <c r="H126" s="48" t="n"/>
      <c r="I126" s="49">
        <f>IF(E126=0,"",F126/E126)</f>
        <v/>
      </c>
      <c r="J126" s="22">
        <f>IF(E126=0,"",G126/E126)</f>
        <v/>
      </c>
      <c r="K126" s="22">
        <f>IF(G126=0,"",G126-H126)</f>
        <v/>
      </c>
      <c r="L126" s="49">
        <f>IF(G126=0,"",(G126-H126)/G126)</f>
        <v/>
      </c>
      <c r="M126" s="50">
        <f>IF(E126=0,"",IF(I126&gt;='GIẢ ĐỊNH'!$C$8,"ĐẠT","CHƯA"))</f>
        <v/>
      </c>
    </row>
    <row r="127">
      <c r="A127" s="19" t="inlineStr">
        <is>
          <t>T12/2027</t>
        </is>
      </c>
      <c r="B127" s="19" t="inlineStr">
        <is>
          <t>Tứ Hải</t>
        </is>
      </c>
      <c r="C127" s="19" t="inlineStr">
        <is>
          <t>Trung tâm</t>
        </is>
      </c>
      <c r="D127" s="47" t="n"/>
      <c r="E127" s="20" t="n"/>
      <c r="F127" s="20" t="n"/>
      <c r="G127" s="48" t="n"/>
      <c r="H127" s="48" t="n"/>
      <c r="I127" s="49">
        <f>IF(E127=0,"",F127/E127)</f>
        <v/>
      </c>
      <c r="J127" s="22">
        <f>IF(E127=0,"",G127/E127)</f>
        <v/>
      </c>
      <c r="K127" s="22">
        <f>IF(G127=0,"",G127-H127)</f>
        <v/>
      </c>
      <c r="L127" s="49">
        <f>IF(G127=0,"",(G127-H127)/G127)</f>
        <v/>
      </c>
      <c r="M127" s="50">
        <f>IF(E127=0,"",IF(I127&gt;='GIẢ ĐỊNH'!$C$8,"ĐẠT","CHƯA"))</f>
        <v/>
      </c>
    </row>
    <row r="128">
      <c r="A128" s="19" t="inlineStr">
        <is>
          <t>T12/2027</t>
        </is>
      </c>
      <c r="B128" s="19" t="inlineStr">
        <is>
          <t>Phó Cơ Điều</t>
        </is>
      </c>
      <c r="C128" s="19" t="inlineStr">
        <is>
          <t>Trung tâm</t>
        </is>
      </c>
      <c r="D128" s="47" t="n"/>
      <c r="E128" s="20" t="n"/>
      <c r="F128" s="20" t="n"/>
      <c r="G128" s="48" t="n"/>
      <c r="H128" s="48" t="n"/>
      <c r="I128" s="49">
        <f>IF(E128=0,"",F128/E128)</f>
        <v/>
      </c>
      <c r="J128" s="22">
        <f>IF(E128=0,"",G128/E128)</f>
        <v/>
      </c>
      <c r="K128" s="22">
        <f>IF(G128=0,"",G128-H128)</f>
        <v/>
      </c>
      <c r="L128" s="49">
        <f>IF(G128=0,"",(G128-H128)/G128)</f>
        <v/>
      </c>
      <c r="M128" s="50">
        <f>IF(E128=0,"",IF(I128&gt;='GIẢ ĐỊNH'!$C$8,"ĐẠT","CHƯA"))</f>
        <v/>
      </c>
    </row>
    <row r="129">
      <c r="A129" s="19" t="inlineStr">
        <is>
          <t>T12/2027</t>
        </is>
      </c>
      <c r="B129" s="19" t="inlineStr">
        <is>
          <t>Khuông Việt</t>
        </is>
      </c>
      <c r="C129" s="19" t="inlineStr">
        <is>
          <t>Tân Phú</t>
        </is>
      </c>
      <c r="D129" s="47" t="n"/>
      <c r="E129" s="20" t="n"/>
      <c r="F129" s="20" t="n"/>
      <c r="G129" s="48" t="n"/>
      <c r="H129" s="48" t="n"/>
      <c r="I129" s="49">
        <f>IF(E129=0,"",F129/E129)</f>
        <v/>
      </c>
      <c r="J129" s="22">
        <f>IF(E129=0,"",G129/E129)</f>
        <v/>
      </c>
      <c r="K129" s="22">
        <f>IF(G129=0,"",G129-H129)</f>
        <v/>
      </c>
      <c r="L129" s="49">
        <f>IF(G129=0,"",(G129-H129)/G129)</f>
        <v/>
      </c>
      <c r="M129" s="50">
        <f>IF(E129=0,"",IF(I129&gt;='GIẢ ĐỊNH'!$C$8,"ĐẠT","CHƯA"))</f>
        <v/>
      </c>
    </row>
    <row r="130">
      <c r="A130" s="19" t="inlineStr">
        <is>
          <t>T12/2027</t>
        </is>
      </c>
      <c r="B130" s="19" t="inlineStr">
        <is>
          <t>Gò Dầu</t>
        </is>
      </c>
      <c r="C130" s="19" t="inlineStr">
        <is>
          <t>Tân Phú</t>
        </is>
      </c>
      <c r="D130" s="47" t="n"/>
      <c r="E130" s="20" t="n"/>
      <c r="F130" s="20" t="n"/>
      <c r="G130" s="48" t="n"/>
      <c r="H130" s="48" t="n"/>
      <c r="I130" s="49">
        <f>IF(E130=0,"",F130/E130)</f>
        <v/>
      </c>
      <c r="J130" s="22">
        <f>IF(E130=0,"",G130/E130)</f>
        <v/>
      </c>
      <c r="K130" s="22">
        <f>IF(G130=0,"",G130-H130)</f>
        <v/>
      </c>
      <c r="L130" s="49">
        <f>IF(G130=0,"",(G130-H130)/G130)</f>
        <v/>
      </c>
      <c r="M130" s="50">
        <f>IF(E130=0,"",IF(I130&gt;='GIẢ ĐỊNH'!$C$8,"ĐẠT","CHƯA"))</f>
        <v/>
      </c>
    </row>
    <row r="131">
      <c r="A131" s="19" t="inlineStr">
        <is>
          <t>T12/2027</t>
        </is>
      </c>
      <c r="B131" s="19" t="inlineStr">
        <is>
          <t>Lê Thị Nho</t>
        </is>
      </c>
      <c r="C131" s="19" t="inlineStr">
        <is>
          <t>Lê Thị Nho</t>
        </is>
      </c>
      <c r="D131" s="47" t="n"/>
      <c r="E131" s="20" t="n"/>
      <c r="F131" s="20" t="n"/>
      <c r="G131" s="48" t="n"/>
      <c r="H131" s="48" t="n"/>
      <c r="I131" s="49">
        <f>IF(E131=0,"",F131/E131)</f>
        <v/>
      </c>
      <c r="J131" s="22">
        <f>IF(E131=0,"",G131/E131)</f>
        <v/>
      </c>
      <c r="K131" s="22">
        <f>IF(G131=0,"",G131-H131)</f>
        <v/>
      </c>
      <c r="L131" s="49">
        <f>IF(G131=0,"",(G131-H131)/G131)</f>
        <v/>
      </c>
      <c r="M131" s="50">
        <f>IF(E131=0,"",IF(I131&gt;='GIẢ ĐỊNH'!$C$8,"ĐẠT","CHƯA"))</f>
        <v/>
      </c>
    </row>
    <row r="132">
      <c r="A132" s="19" t="inlineStr">
        <is>
          <t>T12/2027</t>
        </is>
      </c>
      <c r="B132" s="19" t="inlineStr">
        <is>
          <t>Đỗ Thừa Luông</t>
        </is>
      </c>
      <c r="C132" s="19" t="inlineStr">
        <is>
          <t>Tân Phú</t>
        </is>
      </c>
      <c r="D132" s="47" t="n"/>
      <c r="E132" s="20" t="n"/>
      <c r="F132" s="20" t="n"/>
      <c r="G132" s="48" t="n"/>
      <c r="H132" s="48" t="n"/>
      <c r="I132" s="49">
        <f>IF(E132=0,"",F132/E132)</f>
        <v/>
      </c>
      <c r="J132" s="22">
        <f>IF(E132=0,"",G132/E132)</f>
        <v/>
      </c>
      <c r="K132" s="22">
        <f>IF(G132=0,"",G132-H132)</f>
        <v/>
      </c>
      <c r="L132" s="49">
        <f>IF(G132=0,"",(G132-H132)/G132)</f>
        <v/>
      </c>
      <c r="M132" s="50">
        <f>IF(E132=0,"",IF(I132&gt;='GIẢ ĐỊNH'!$C$8,"ĐẠT","CHƯA"))</f>
        <v/>
      </c>
    </row>
    <row r="133">
      <c r="A133" s="19" t="inlineStr">
        <is>
          <t>T01/2028</t>
        </is>
      </c>
      <c r="B133" s="19" t="inlineStr">
        <is>
          <t>Điện Biên Phủ</t>
        </is>
      </c>
      <c r="C133" s="19" t="inlineStr">
        <is>
          <t>Trung tâm</t>
        </is>
      </c>
      <c r="D133" s="47" t="n"/>
      <c r="E133" s="20" t="n"/>
      <c r="F133" s="20" t="n"/>
      <c r="G133" s="48" t="n"/>
      <c r="H133" s="48" t="n"/>
      <c r="I133" s="49">
        <f>IF(E133=0,"",F133/E133)</f>
        <v/>
      </c>
      <c r="J133" s="22">
        <f>IF(E133=0,"",G133/E133)</f>
        <v/>
      </c>
      <c r="K133" s="22">
        <f>IF(G133=0,"",G133-H133)</f>
        <v/>
      </c>
      <c r="L133" s="49">
        <f>IF(G133=0,"",(G133-H133)/G133)</f>
        <v/>
      </c>
      <c r="M133" s="50">
        <f>IF(E133=0,"",IF(I133&gt;='GIẢ ĐỊNH'!$C$8,"ĐẠT","CHƯA"))</f>
        <v/>
      </c>
    </row>
    <row r="134">
      <c r="A134" s="19" t="inlineStr">
        <is>
          <t>T01/2028</t>
        </is>
      </c>
      <c r="B134" s="19" t="inlineStr">
        <is>
          <t>Vườn Lài</t>
        </is>
      </c>
      <c r="C134" s="19" t="inlineStr">
        <is>
          <t>Tân Phú</t>
        </is>
      </c>
      <c r="D134" s="47" t="n"/>
      <c r="E134" s="20" t="n"/>
      <c r="F134" s="20" t="n"/>
      <c r="G134" s="48" t="n"/>
      <c r="H134" s="48" t="n"/>
      <c r="I134" s="49">
        <f>IF(E134=0,"",F134/E134)</f>
        <v/>
      </c>
      <c r="J134" s="22">
        <f>IF(E134=0,"",G134/E134)</f>
        <v/>
      </c>
      <c r="K134" s="22">
        <f>IF(G134=0,"",G134-H134)</f>
        <v/>
      </c>
      <c r="L134" s="49">
        <f>IF(G134=0,"",(G134-H134)/G134)</f>
        <v/>
      </c>
      <c r="M134" s="50">
        <f>IF(E134=0,"",IF(I134&gt;='GIẢ ĐỊNH'!$C$8,"ĐẠT","CHƯA"))</f>
        <v/>
      </c>
    </row>
    <row r="135">
      <c r="A135" s="19" t="inlineStr">
        <is>
          <t>T01/2028</t>
        </is>
      </c>
      <c r="B135" s="19" t="inlineStr">
        <is>
          <t>Tứ Hải</t>
        </is>
      </c>
      <c r="C135" s="19" t="inlineStr">
        <is>
          <t>Trung tâm</t>
        </is>
      </c>
      <c r="D135" s="47" t="n"/>
      <c r="E135" s="20" t="n"/>
      <c r="F135" s="20" t="n"/>
      <c r="G135" s="48" t="n"/>
      <c r="H135" s="48" t="n"/>
      <c r="I135" s="49">
        <f>IF(E135=0,"",F135/E135)</f>
        <v/>
      </c>
      <c r="J135" s="22">
        <f>IF(E135=0,"",G135/E135)</f>
        <v/>
      </c>
      <c r="K135" s="22">
        <f>IF(G135=0,"",G135-H135)</f>
        <v/>
      </c>
      <c r="L135" s="49">
        <f>IF(G135=0,"",(G135-H135)/G135)</f>
        <v/>
      </c>
      <c r="M135" s="50">
        <f>IF(E135=0,"",IF(I135&gt;='GIẢ ĐỊNH'!$C$8,"ĐẠT","CHƯA"))</f>
        <v/>
      </c>
    </row>
    <row r="136">
      <c r="A136" s="19" t="inlineStr">
        <is>
          <t>T01/2028</t>
        </is>
      </c>
      <c r="B136" s="19" t="inlineStr">
        <is>
          <t>Phó Cơ Điều</t>
        </is>
      </c>
      <c r="C136" s="19" t="inlineStr">
        <is>
          <t>Trung tâm</t>
        </is>
      </c>
      <c r="D136" s="47" t="n"/>
      <c r="E136" s="20" t="n"/>
      <c r="F136" s="20" t="n"/>
      <c r="G136" s="48" t="n"/>
      <c r="H136" s="48" t="n"/>
      <c r="I136" s="49">
        <f>IF(E136=0,"",F136/E136)</f>
        <v/>
      </c>
      <c r="J136" s="22">
        <f>IF(E136=0,"",G136/E136)</f>
        <v/>
      </c>
      <c r="K136" s="22">
        <f>IF(G136=0,"",G136-H136)</f>
        <v/>
      </c>
      <c r="L136" s="49">
        <f>IF(G136=0,"",(G136-H136)/G136)</f>
        <v/>
      </c>
      <c r="M136" s="50">
        <f>IF(E136=0,"",IF(I136&gt;='GIẢ ĐỊNH'!$C$8,"ĐẠT","CHƯA"))</f>
        <v/>
      </c>
    </row>
    <row r="137">
      <c r="A137" s="19" t="inlineStr">
        <is>
          <t>T01/2028</t>
        </is>
      </c>
      <c r="B137" s="19" t="inlineStr">
        <is>
          <t>Khuông Việt</t>
        </is>
      </c>
      <c r="C137" s="19" t="inlineStr">
        <is>
          <t>Tân Phú</t>
        </is>
      </c>
      <c r="D137" s="47" t="n"/>
      <c r="E137" s="20" t="n"/>
      <c r="F137" s="20" t="n"/>
      <c r="G137" s="48" t="n"/>
      <c r="H137" s="48" t="n"/>
      <c r="I137" s="49">
        <f>IF(E137=0,"",F137/E137)</f>
        <v/>
      </c>
      <c r="J137" s="22">
        <f>IF(E137=0,"",G137/E137)</f>
        <v/>
      </c>
      <c r="K137" s="22">
        <f>IF(G137=0,"",G137-H137)</f>
        <v/>
      </c>
      <c r="L137" s="49">
        <f>IF(G137=0,"",(G137-H137)/G137)</f>
        <v/>
      </c>
      <c r="M137" s="50">
        <f>IF(E137=0,"",IF(I137&gt;='GIẢ ĐỊNH'!$C$8,"ĐẠT","CHƯA"))</f>
        <v/>
      </c>
    </row>
    <row r="138">
      <c r="A138" s="19" t="inlineStr">
        <is>
          <t>T01/2028</t>
        </is>
      </c>
      <c r="B138" s="19" t="inlineStr">
        <is>
          <t>Gò Dầu</t>
        </is>
      </c>
      <c r="C138" s="19" t="inlineStr">
        <is>
          <t>Tân Phú</t>
        </is>
      </c>
      <c r="D138" s="47" t="n"/>
      <c r="E138" s="20" t="n"/>
      <c r="F138" s="20" t="n"/>
      <c r="G138" s="48" t="n"/>
      <c r="H138" s="48" t="n"/>
      <c r="I138" s="49">
        <f>IF(E138=0,"",F138/E138)</f>
        <v/>
      </c>
      <c r="J138" s="22">
        <f>IF(E138=0,"",G138/E138)</f>
        <v/>
      </c>
      <c r="K138" s="22">
        <f>IF(G138=0,"",G138-H138)</f>
        <v/>
      </c>
      <c r="L138" s="49">
        <f>IF(G138=0,"",(G138-H138)/G138)</f>
        <v/>
      </c>
      <c r="M138" s="50">
        <f>IF(E138=0,"",IF(I138&gt;='GIẢ ĐỊNH'!$C$8,"ĐẠT","CHƯA"))</f>
        <v/>
      </c>
    </row>
    <row r="139">
      <c r="A139" s="19" t="inlineStr">
        <is>
          <t>T01/2028</t>
        </is>
      </c>
      <c r="B139" s="19" t="inlineStr">
        <is>
          <t>Lê Thị Nho</t>
        </is>
      </c>
      <c r="C139" s="19" t="inlineStr">
        <is>
          <t>Lê Thị Nho</t>
        </is>
      </c>
      <c r="D139" s="47" t="n"/>
      <c r="E139" s="20" t="n"/>
      <c r="F139" s="20" t="n"/>
      <c r="G139" s="48" t="n"/>
      <c r="H139" s="48" t="n"/>
      <c r="I139" s="49">
        <f>IF(E139=0,"",F139/E139)</f>
        <v/>
      </c>
      <c r="J139" s="22">
        <f>IF(E139=0,"",G139/E139)</f>
        <v/>
      </c>
      <c r="K139" s="22">
        <f>IF(G139=0,"",G139-H139)</f>
        <v/>
      </c>
      <c r="L139" s="49">
        <f>IF(G139=0,"",(G139-H139)/G139)</f>
        <v/>
      </c>
      <c r="M139" s="50">
        <f>IF(E139=0,"",IF(I139&gt;='GIẢ ĐỊNH'!$C$8,"ĐẠT","CHƯA"))</f>
        <v/>
      </c>
    </row>
    <row r="140">
      <c r="A140" s="19" t="inlineStr">
        <is>
          <t>T01/2028</t>
        </is>
      </c>
      <c r="B140" s="19" t="inlineStr">
        <is>
          <t>Đỗ Thừa Luông</t>
        </is>
      </c>
      <c r="C140" s="19" t="inlineStr">
        <is>
          <t>Tân Phú</t>
        </is>
      </c>
      <c r="D140" s="47" t="n"/>
      <c r="E140" s="20" t="n"/>
      <c r="F140" s="20" t="n"/>
      <c r="G140" s="48" t="n"/>
      <c r="H140" s="48" t="n"/>
      <c r="I140" s="49">
        <f>IF(E140=0,"",F140/E140)</f>
        <v/>
      </c>
      <c r="J140" s="22">
        <f>IF(E140=0,"",G140/E140)</f>
        <v/>
      </c>
      <c r="K140" s="22">
        <f>IF(G140=0,"",G140-H140)</f>
        <v/>
      </c>
      <c r="L140" s="49">
        <f>IF(G140=0,"",(G140-H140)/G140)</f>
        <v/>
      </c>
      <c r="M140" s="50">
        <f>IF(E140=0,"",IF(I140&gt;='GIẢ ĐỊNH'!$C$8,"ĐẠT","CHƯA"))</f>
        <v/>
      </c>
    </row>
    <row r="141">
      <c r="A141" s="19" t="inlineStr">
        <is>
          <t>T02/2028</t>
        </is>
      </c>
      <c r="B141" s="19" t="inlineStr">
        <is>
          <t>Điện Biên Phủ</t>
        </is>
      </c>
      <c r="C141" s="19" t="inlineStr">
        <is>
          <t>Trung tâm</t>
        </is>
      </c>
      <c r="D141" s="47" t="n"/>
      <c r="E141" s="20" t="n"/>
      <c r="F141" s="20" t="n"/>
      <c r="G141" s="48" t="n"/>
      <c r="H141" s="48" t="n"/>
      <c r="I141" s="49">
        <f>IF(E141=0,"",F141/E141)</f>
        <v/>
      </c>
      <c r="J141" s="22">
        <f>IF(E141=0,"",G141/E141)</f>
        <v/>
      </c>
      <c r="K141" s="22">
        <f>IF(G141=0,"",G141-H141)</f>
        <v/>
      </c>
      <c r="L141" s="49">
        <f>IF(G141=0,"",(G141-H141)/G141)</f>
        <v/>
      </c>
      <c r="M141" s="50">
        <f>IF(E141=0,"",IF(I141&gt;='GIẢ ĐỊNH'!$C$8,"ĐẠT","CHƯA"))</f>
        <v/>
      </c>
    </row>
    <row r="142">
      <c r="A142" s="19" t="inlineStr">
        <is>
          <t>T02/2028</t>
        </is>
      </c>
      <c r="B142" s="19" t="inlineStr">
        <is>
          <t>Vườn Lài</t>
        </is>
      </c>
      <c r="C142" s="19" t="inlineStr">
        <is>
          <t>Tân Phú</t>
        </is>
      </c>
      <c r="D142" s="47" t="n"/>
      <c r="E142" s="20" t="n"/>
      <c r="F142" s="20" t="n"/>
      <c r="G142" s="48" t="n"/>
      <c r="H142" s="48" t="n"/>
      <c r="I142" s="49">
        <f>IF(E142=0,"",F142/E142)</f>
        <v/>
      </c>
      <c r="J142" s="22">
        <f>IF(E142=0,"",G142/E142)</f>
        <v/>
      </c>
      <c r="K142" s="22">
        <f>IF(G142=0,"",G142-H142)</f>
        <v/>
      </c>
      <c r="L142" s="49">
        <f>IF(G142=0,"",(G142-H142)/G142)</f>
        <v/>
      </c>
      <c r="M142" s="50">
        <f>IF(E142=0,"",IF(I142&gt;='GIẢ ĐỊNH'!$C$8,"ĐẠT","CHƯA"))</f>
        <v/>
      </c>
    </row>
    <row r="143">
      <c r="A143" s="19" t="inlineStr">
        <is>
          <t>T02/2028</t>
        </is>
      </c>
      <c r="B143" s="19" t="inlineStr">
        <is>
          <t>Tứ Hải</t>
        </is>
      </c>
      <c r="C143" s="19" t="inlineStr">
        <is>
          <t>Trung tâm</t>
        </is>
      </c>
      <c r="D143" s="47" t="n"/>
      <c r="E143" s="20" t="n"/>
      <c r="F143" s="20" t="n"/>
      <c r="G143" s="48" t="n"/>
      <c r="H143" s="48" t="n"/>
      <c r="I143" s="49">
        <f>IF(E143=0,"",F143/E143)</f>
        <v/>
      </c>
      <c r="J143" s="22">
        <f>IF(E143=0,"",G143/E143)</f>
        <v/>
      </c>
      <c r="K143" s="22">
        <f>IF(G143=0,"",G143-H143)</f>
        <v/>
      </c>
      <c r="L143" s="49">
        <f>IF(G143=0,"",(G143-H143)/G143)</f>
        <v/>
      </c>
      <c r="M143" s="50">
        <f>IF(E143=0,"",IF(I143&gt;='GIẢ ĐỊNH'!$C$8,"ĐẠT","CHƯA"))</f>
        <v/>
      </c>
    </row>
    <row r="144">
      <c r="A144" s="19" t="inlineStr">
        <is>
          <t>T02/2028</t>
        </is>
      </c>
      <c r="B144" s="19" t="inlineStr">
        <is>
          <t>Phó Cơ Điều</t>
        </is>
      </c>
      <c r="C144" s="19" t="inlineStr">
        <is>
          <t>Trung tâm</t>
        </is>
      </c>
      <c r="D144" s="47" t="n"/>
      <c r="E144" s="20" t="n"/>
      <c r="F144" s="20" t="n"/>
      <c r="G144" s="48" t="n"/>
      <c r="H144" s="48" t="n"/>
      <c r="I144" s="49">
        <f>IF(E144=0,"",F144/E144)</f>
        <v/>
      </c>
      <c r="J144" s="22">
        <f>IF(E144=0,"",G144/E144)</f>
        <v/>
      </c>
      <c r="K144" s="22">
        <f>IF(G144=0,"",G144-H144)</f>
        <v/>
      </c>
      <c r="L144" s="49">
        <f>IF(G144=0,"",(G144-H144)/G144)</f>
        <v/>
      </c>
      <c r="M144" s="50">
        <f>IF(E144=0,"",IF(I144&gt;='GIẢ ĐỊNH'!$C$8,"ĐẠT","CHƯA"))</f>
        <v/>
      </c>
    </row>
    <row r="145">
      <c r="A145" s="19" t="inlineStr">
        <is>
          <t>T02/2028</t>
        </is>
      </c>
      <c r="B145" s="19" t="inlineStr">
        <is>
          <t>Khuông Việt</t>
        </is>
      </c>
      <c r="C145" s="19" t="inlineStr">
        <is>
          <t>Tân Phú</t>
        </is>
      </c>
      <c r="D145" s="47" t="n"/>
      <c r="E145" s="20" t="n"/>
      <c r="F145" s="20" t="n"/>
      <c r="G145" s="48" t="n"/>
      <c r="H145" s="48" t="n"/>
      <c r="I145" s="49">
        <f>IF(E145=0,"",F145/E145)</f>
        <v/>
      </c>
      <c r="J145" s="22">
        <f>IF(E145=0,"",G145/E145)</f>
        <v/>
      </c>
      <c r="K145" s="22">
        <f>IF(G145=0,"",G145-H145)</f>
        <v/>
      </c>
      <c r="L145" s="49">
        <f>IF(G145=0,"",(G145-H145)/G145)</f>
        <v/>
      </c>
      <c r="M145" s="50">
        <f>IF(E145=0,"",IF(I145&gt;='GIẢ ĐỊNH'!$C$8,"ĐẠT","CHƯA"))</f>
        <v/>
      </c>
    </row>
    <row r="146">
      <c r="A146" s="19" t="inlineStr">
        <is>
          <t>T02/2028</t>
        </is>
      </c>
      <c r="B146" s="19" t="inlineStr">
        <is>
          <t>Gò Dầu</t>
        </is>
      </c>
      <c r="C146" s="19" t="inlineStr">
        <is>
          <t>Tân Phú</t>
        </is>
      </c>
      <c r="D146" s="47" t="n"/>
      <c r="E146" s="20" t="n"/>
      <c r="F146" s="20" t="n"/>
      <c r="G146" s="48" t="n"/>
      <c r="H146" s="48" t="n"/>
      <c r="I146" s="49">
        <f>IF(E146=0,"",F146/E146)</f>
        <v/>
      </c>
      <c r="J146" s="22">
        <f>IF(E146=0,"",G146/E146)</f>
        <v/>
      </c>
      <c r="K146" s="22">
        <f>IF(G146=0,"",G146-H146)</f>
        <v/>
      </c>
      <c r="L146" s="49">
        <f>IF(G146=0,"",(G146-H146)/G146)</f>
        <v/>
      </c>
      <c r="M146" s="50">
        <f>IF(E146=0,"",IF(I146&gt;='GIẢ ĐỊNH'!$C$8,"ĐẠT","CHƯA"))</f>
        <v/>
      </c>
    </row>
    <row r="147">
      <c r="A147" s="19" t="inlineStr">
        <is>
          <t>T02/2028</t>
        </is>
      </c>
      <c r="B147" s="19" t="inlineStr">
        <is>
          <t>Lê Thị Nho</t>
        </is>
      </c>
      <c r="C147" s="19" t="inlineStr">
        <is>
          <t>Lê Thị Nho</t>
        </is>
      </c>
      <c r="D147" s="47" t="n"/>
      <c r="E147" s="20" t="n"/>
      <c r="F147" s="20" t="n"/>
      <c r="G147" s="48" t="n"/>
      <c r="H147" s="48" t="n"/>
      <c r="I147" s="49">
        <f>IF(E147=0,"",F147/E147)</f>
        <v/>
      </c>
      <c r="J147" s="22">
        <f>IF(E147=0,"",G147/E147)</f>
        <v/>
      </c>
      <c r="K147" s="22">
        <f>IF(G147=0,"",G147-H147)</f>
        <v/>
      </c>
      <c r="L147" s="49">
        <f>IF(G147=0,"",(G147-H147)/G147)</f>
        <v/>
      </c>
      <c r="M147" s="50">
        <f>IF(E147=0,"",IF(I147&gt;='GIẢ ĐỊNH'!$C$8,"ĐẠT","CHƯA"))</f>
        <v/>
      </c>
    </row>
    <row r="148">
      <c r="A148" s="19" t="inlineStr">
        <is>
          <t>T02/2028</t>
        </is>
      </c>
      <c r="B148" s="19" t="inlineStr">
        <is>
          <t>Đỗ Thừa Luông</t>
        </is>
      </c>
      <c r="C148" s="19" t="inlineStr">
        <is>
          <t>Tân Phú</t>
        </is>
      </c>
      <c r="D148" s="47" t="n"/>
      <c r="E148" s="20" t="n"/>
      <c r="F148" s="20" t="n"/>
      <c r="G148" s="48" t="n"/>
      <c r="H148" s="48" t="n"/>
      <c r="I148" s="49">
        <f>IF(E148=0,"",F148/E148)</f>
        <v/>
      </c>
      <c r="J148" s="22">
        <f>IF(E148=0,"",G148/E148)</f>
        <v/>
      </c>
      <c r="K148" s="22">
        <f>IF(G148=0,"",G148-H148)</f>
        <v/>
      </c>
      <c r="L148" s="49">
        <f>IF(G148=0,"",(G148-H148)/G148)</f>
        <v/>
      </c>
      <c r="M148" s="50">
        <f>IF(E148=0,"",IF(I148&gt;='GIẢ ĐỊNH'!$C$8,"ĐẠT","CHƯA"))</f>
        <v/>
      </c>
    </row>
    <row r="149">
      <c r="A149" s="19" t="inlineStr">
        <is>
          <t>T03/2028</t>
        </is>
      </c>
      <c r="B149" s="19" t="inlineStr">
        <is>
          <t>Điện Biên Phủ</t>
        </is>
      </c>
      <c r="C149" s="19" t="inlineStr">
        <is>
          <t>Trung tâm</t>
        </is>
      </c>
      <c r="D149" s="47" t="n"/>
      <c r="E149" s="20" t="n"/>
      <c r="F149" s="20" t="n"/>
      <c r="G149" s="48" t="n"/>
      <c r="H149" s="48" t="n"/>
      <c r="I149" s="49">
        <f>IF(E149=0,"",F149/E149)</f>
        <v/>
      </c>
      <c r="J149" s="22">
        <f>IF(E149=0,"",G149/E149)</f>
        <v/>
      </c>
      <c r="K149" s="22">
        <f>IF(G149=0,"",G149-H149)</f>
        <v/>
      </c>
      <c r="L149" s="49">
        <f>IF(G149=0,"",(G149-H149)/G149)</f>
        <v/>
      </c>
      <c r="M149" s="50">
        <f>IF(E149=0,"",IF(I149&gt;='GIẢ ĐỊNH'!$C$8,"ĐẠT","CHƯA"))</f>
        <v/>
      </c>
    </row>
    <row r="150">
      <c r="A150" s="19" t="inlineStr">
        <is>
          <t>T03/2028</t>
        </is>
      </c>
      <c r="B150" s="19" t="inlineStr">
        <is>
          <t>Vườn Lài</t>
        </is>
      </c>
      <c r="C150" s="19" t="inlineStr">
        <is>
          <t>Tân Phú</t>
        </is>
      </c>
      <c r="D150" s="47" t="n"/>
      <c r="E150" s="20" t="n"/>
      <c r="F150" s="20" t="n"/>
      <c r="G150" s="48" t="n"/>
      <c r="H150" s="48" t="n"/>
      <c r="I150" s="49">
        <f>IF(E150=0,"",F150/E150)</f>
        <v/>
      </c>
      <c r="J150" s="22">
        <f>IF(E150=0,"",G150/E150)</f>
        <v/>
      </c>
      <c r="K150" s="22">
        <f>IF(G150=0,"",G150-H150)</f>
        <v/>
      </c>
      <c r="L150" s="49">
        <f>IF(G150=0,"",(G150-H150)/G150)</f>
        <v/>
      </c>
      <c r="M150" s="50">
        <f>IF(E150=0,"",IF(I150&gt;='GIẢ ĐỊNH'!$C$8,"ĐẠT","CHƯA"))</f>
        <v/>
      </c>
    </row>
    <row r="151">
      <c r="A151" s="19" t="inlineStr">
        <is>
          <t>T03/2028</t>
        </is>
      </c>
      <c r="B151" s="19" t="inlineStr">
        <is>
          <t>Tứ Hải</t>
        </is>
      </c>
      <c r="C151" s="19" t="inlineStr">
        <is>
          <t>Trung tâm</t>
        </is>
      </c>
      <c r="D151" s="47" t="n"/>
      <c r="E151" s="20" t="n"/>
      <c r="F151" s="20" t="n"/>
      <c r="G151" s="48" t="n"/>
      <c r="H151" s="48" t="n"/>
      <c r="I151" s="49">
        <f>IF(E151=0,"",F151/E151)</f>
        <v/>
      </c>
      <c r="J151" s="22">
        <f>IF(E151=0,"",G151/E151)</f>
        <v/>
      </c>
      <c r="K151" s="22">
        <f>IF(G151=0,"",G151-H151)</f>
        <v/>
      </c>
      <c r="L151" s="49">
        <f>IF(G151=0,"",(G151-H151)/G151)</f>
        <v/>
      </c>
      <c r="M151" s="50">
        <f>IF(E151=0,"",IF(I151&gt;='GIẢ ĐỊNH'!$C$8,"ĐẠT","CHƯA"))</f>
        <v/>
      </c>
    </row>
    <row r="152">
      <c r="A152" s="19" t="inlineStr">
        <is>
          <t>T03/2028</t>
        </is>
      </c>
      <c r="B152" s="19" t="inlineStr">
        <is>
          <t>Phó Cơ Điều</t>
        </is>
      </c>
      <c r="C152" s="19" t="inlineStr">
        <is>
          <t>Trung tâm</t>
        </is>
      </c>
      <c r="D152" s="47" t="n"/>
      <c r="E152" s="20" t="n"/>
      <c r="F152" s="20" t="n"/>
      <c r="G152" s="48" t="n"/>
      <c r="H152" s="48" t="n"/>
      <c r="I152" s="49">
        <f>IF(E152=0,"",F152/E152)</f>
        <v/>
      </c>
      <c r="J152" s="22">
        <f>IF(E152=0,"",G152/E152)</f>
        <v/>
      </c>
      <c r="K152" s="22">
        <f>IF(G152=0,"",G152-H152)</f>
        <v/>
      </c>
      <c r="L152" s="49">
        <f>IF(G152=0,"",(G152-H152)/G152)</f>
        <v/>
      </c>
      <c r="M152" s="50">
        <f>IF(E152=0,"",IF(I152&gt;='GIẢ ĐỊNH'!$C$8,"ĐẠT","CHƯA"))</f>
        <v/>
      </c>
    </row>
    <row r="153">
      <c r="A153" s="19" t="inlineStr">
        <is>
          <t>T03/2028</t>
        </is>
      </c>
      <c r="B153" s="19" t="inlineStr">
        <is>
          <t>Khuông Việt</t>
        </is>
      </c>
      <c r="C153" s="19" t="inlineStr">
        <is>
          <t>Tân Phú</t>
        </is>
      </c>
      <c r="D153" s="47" t="n"/>
      <c r="E153" s="20" t="n"/>
      <c r="F153" s="20" t="n"/>
      <c r="G153" s="48" t="n"/>
      <c r="H153" s="48" t="n"/>
      <c r="I153" s="49">
        <f>IF(E153=0,"",F153/E153)</f>
        <v/>
      </c>
      <c r="J153" s="22">
        <f>IF(E153=0,"",G153/E153)</f>
        <v/>
      </c>
      <c r="K153" s="22">
        <f>IF(G153=0,"",G153-H153)</f>
        <v/>
      </c>
      <c r="L153" s="49">
        <f>IF(G153=0,"",(G153-H153)/G153)</f>
        <v/>
      </c>
      <c r="M153" s="50">
        <f>IF(E153=0,"",IF(I153&gt;='GIẢ ĐỊNH'!$C$8,"ĐẠT","CHƯA"))</f>
        <v/>
      </c>
    </row>
    <row r="154">
      <c r="A154" s="19" t="inlineStr">
        <is>
          <t>T03/2028</t>
        </is>
      </c>
      <c r="B154" s="19" t="inlineStr">
        <is>
          <t>Gò Dầu</t>
        </is>
      </c>
      <c r="C154" s="19" t="inlineStr">
        <is>
          <t>Tân Phú</t>
        </is>
      </c>
      <c r="D154" s="47" t="n"/>
      <c r="E154" s="20" t="n"/>
      <c r="F154" s="20" t="n"/>
      <c r="G154" s="48" t="n"/>
      <c r="H154" s="48" t="n"/>
      <c r="I154" s="49">
        <f>IF(E154=0,"",F154/E154)</f>
        <v/>
      </c>
      <c r="J154" s="22">
        <f>IF(E154=0,"",G154/E154)</f>
        <v/>
      </c>
      <c r="K154" s="22">
        <f>IF(G154=0,"",G154-H154)</f>
        <v/>
      </c>
      <c r="L154" s="49">
        <f>IF(G154=0,"",(G154-H154)/G154)</f>
        <v/>
      </c>
      <c r="M154" s="50">
        <f>IF(E154=0,"",IF(I154&gt;='GIẢ ĐỊNH'!$C$8,"ĐẠT","CHƯA"))</f>
        <v/>
      </c>
    </row>
    <row r="155">
      <c r="A155" s="19" t="inlineStr">
        <is>
          <t>T03/2028</t>
        </is>
      </c>
      <c r="B155" s="19" t="inlineStr">
        <is>
          <t>Lê Thị Nho</t>
        </is>
      </c>
      <c r="C155" s="19" t="inlineStr">
        <is>
          <t>Lê Thị Nho</t>
        </is>
      </c>
      <c r="D155" s="47" t="n"/>
      <c r="E155" s="20" t="n"/>
      <c r="F155" s="20" t="n"/>
      <c r="G155" s="48" t="n"/>
      <c r="H155" s="48" t="n"/>
      <c r="I155" s="49">
        <f>IF(E155=0,"",F155/E155)</f>
        <v/>
      </c>
      <c r="J155" s="22">
        <f>IF(E155=0,"",G155/E155)</f>
        <v/>
      </c>
      <c r="K155" s="22">
        <f>IF(G155=0,"",G155-H155)</f>
        <v/>
      </c>
      <c r="L155" s="49">
        <f>IF(G155=0,"",(G155-H155)/G155)</f>
        <v/>
      </c>
      <c r="M155" s="50">
        <f>IF(E155=0,"",IF(I155&gt;='GIẢ ĐỊNH'!$C$8,"ĐẠT","CHƯA"))</f>
        <v/>
      </c>
    </row>
    <row r="156">
      <c r="A156" s="19" t="inlineStr">
        <is>
          <t>T03/2028</t>
        </is>
      </c>
      <c r="B156" s="19" t="inlineStr">
        <is>
          <t>Đỗ Thừa Luông</t>
        </is>
      </c>
      <c r="C156" s="19" t="inlineStr">
        <is>
          <t>Tân Phú</t>
        </is>
      </c>
      <c r="D156" s="47" t="n"/>
      <c r="E156" s="20" t="n"/>
      <c r="F156" s="20" t="n"/>
      <c r="G156" s="48" t="n"/>
      <c r="H156" s="48" t="n"/>
      <c r="I156" s="49">
        <f>IF(E156=0,"",F156/E156)</f>
        <v/>
      </c>
      <c r="J156" s="22">
        <f>IF(E156=0,"",G156/E156)</f>
        <v/>
      </c>
      <c r="K156" s="22">
        <f>IF(G156=0,"",G156-H156)</f>
        <v/>
      </c>
      <c r="L156" s="49">
        <f>IF(G156=0,"",(G156-H156)/G156)</f>
        <v/>
      </c>
      <c r="M156" s="50">
        <f>IF(E156=0,"",IF(I156&gt;='GIẢ ĐỊNH'!$C$8,"ĐẠT","CHƯA"))</f>
        <v/>
      </c>
    </row>
    <row r="157">
      <c r="A157" s="19" t="inlineStr">
        <is>
          <t>T04/2028</t>
        </is>
      </c>
      <c r="B157" s="19" t="inlineStr">
        <is>
          <t>Điện Biên Phủ</t>
        </is>
      </c>
      <c r="C157" s="19" t="inlineStr">
        <is>
          <t>Trung tâm</t>
        </is>
      </c>
      <c r="D157" s="47" t="n"/>
      <c r="E157" s="20" t="n"/>
      <c r="F157" s="20" t="n"/>
      <c r="G157" s="48" t="n"/>
      <c r="H157" s="48" t="n"/>
      <c r="I157" s="49">
        <f>IF(E157=0,"",F157/E157)</f>
        <v/>
      </c>
      <c r="J157" s="22">
        <f>IF(E157=0,"",G157/E157)</f>
        <v/>
      </c>
      <c r="K157" s="22">
        <f>IF(G157=0,"",G157-H157)</f>
        <v/>
      </c>
      <c r="L157" s="49">
        <f>IF(G157=0,"",(G157-H157)/G157)</f>
        <v/>
      </c>
      <c r="M157" s="50">
        <f>IF(E157=0,"",IF(I157&gt;='GIẢ ĐỊNH'!$C$8,"ĐẠT","CHƯA"))</f>
        <v/>
      </c>
    </row>
    <row r="158">
      <c r="A158" s="19" t="inlineStr">
        <is>
          <t>T04/2028</t>
        </is>
      </c>
      <c r="B158" s="19" t="inlineStr">
        <is>
          <t>Vườn Lài</t>
        </is>
      </c>
      <c r="C158" s="19" t="inlineStr">
        <is>
          <t>Tân Phú</t>
        </is>
      </c>
      <c r="D158" s="47" t="n"/>
      <c r="E158" s="20" t="n"/>
      <c r="F158" s="20" t="n"/>
      <c r="G158" s="48" t="n"/>
      <c r="H158" s="48" t="n"/>
      <c r="I158" s="49">
        <f>IF(E158=0,"",F158/E158)</f>
        <v/>
      </c>
      <c r="J158" s="22">
        <f>IF(E158=0,"",G158/E158)</f>
        <v/>
      </c>
      <c r="K158" s="22">
        <f>IF(G158=0,"",G158-H158)</f>
        <v/>
      </c>
      <c r="L158" s="49">
        <f>IF(G158=0,"",(G158-H158)/G158)</f>
        <v/>
      </c>
      <c r="M158" s="50">
        <f>IF(E158=0,"",IF(I158&gt;='GIẢ ĐỊNH'!$C$8,"ĐẠT","CHƯA"))</f>
        <v/>
      </c>
    </row>
    <row r="159">
      <c r="A159" s="19" t="inlineStr">
        <is>
          <t>T04/2028</t>
        </is>
      </c>
      <c r="B159" s="19" t="inlineStr">
        <is>
          <t>Tứ Hải</t>
        </is>
      </c>
      <c r="C159" s="19" t="inlineStr">
        <is>
          <t>Trung tâm</t>
        </is>
      </c>
      <c r="D159" s="47" t="n"/>
      <c r="E159" s="20" t="n"/>
      <c r="F159" s="20" t="n"/>
      <c r="G159" s="48" t="n"/>
      <c r="H159" s="48" t="n"/>
      <c r="I159" s="49">
        <f>IF(E159=0,"",F159/E159)</f>
        <v/>
      </c>
      <c r="J159" s="22">
        <f>IF(E159=0,"",G159/E159)</f>
        <v/>
      </c>
      <c r="K159" s="22">
        <f>IF(G159=0,"",G159-H159)</f>
        <v/>
      </c>
      <c r="L159" s="49">
        <f>IF(G159=0,"",(G159-H159)/G159)</f>
        <v/>
      </c>
      <c r="M159" s="50">
        <f>IF(E159=0,"",IF(I159&gt;='GIẢ ĐỊNH'!$C$8,"ĐẠT","CHƯA"))</f>
        <v/>
      </c>
    </row>
    <row r="160">
      <c r="A160" s="19" t="inlineStr">
        <is>
          <t>T04/2028</t>
        </is>
      </c>
      <c r="B160" s="19" t="inlineStr">
        <is>
          <t>Phó Cơ Điều</t>
        </is>
      </c>
      <c r="C160" s="19" t="inlineStr">
        <is>
          <t>Trung tâm</t>
        </is>
      </c>
      <c r="D160" s="47" t="n"/>
      <c r="E160" s="20" t="n"/>
      <c r="F160" s="20" t="n"/>
      <c r="G160" s="48" t="n"/>
      <c r="H160" s="48" t="n"/>
      <c r="I160" s="49">
        <f>IF(E160=0,"",F160/E160)</f>
        <v/>
      </c>
      <c r="J160" s="22">
        <f>IF(E160=0,"",G160/E160)</f>
        <v/>
      </c>
      <c r="K160" s="22">
        <f>IF(G160=0,"",G160-H160)</f>
        <v/>
      </c>
      <c r="L160" s="49">
        <f>IF(G160=0,"",(G160-H160)/G160)</f>
        <v/>
      </c>
      <c r="M160" s="50">
        <f>IF(E160=0,"",IF(I160&gt;='GIẢ ĐỊNH'!$C$8,"ĐẠT","CHƯA"))</f>
        <v/>
      </c>
    </row>
    <row r="161">
      <c r="A161" s="19" t="inlineStr">
        <is>
          <t>T04/2028</t>
        </is>
      </c>
      <c r="B161" s="19" t="inlineStr">
        <is>
          <t>Khuông Việt</t>
        </is>
      </c>
      <c r="C161" s="19" t="inlineStr">
        <is>
          <t>Tân Phú</t>
        </is>
      </c>
      <c r="D161" s="47" t="n"/>
      <c r="E161" s="20" t="n"/>
      <c r="F161" s="20" t="n"/>
      <c r="G161" s="48" t="n"/>
      <c r="H161" s="48" t="n"/>
      <c r="I161" s="49">
        <f>IF(E161=0,"",F161/E161)</f>
        <v/>
      </c>
      <c r="J161" s="22">
        <f>IF(E161=0,"",G161/E161)</f>
        <v/>
      </c>
      <c r="K161" s="22">
        <f>IF(G161=0,"",G161-H161)</f>
        <v/>
      </c>
      <c r="L161" s="49">
        <f>IF(G161=0,"",(G161-H161)/G161)</f>
        <v/>
      </c>
      <c r="M161" s="50">
        <f>IF(E161=0,"",IF(I161&gt;='GIẢ ĐỊNH'!$C$8,"ĐẠT","CHƯA"))</f>
        <v/>
      </c>
    </row>
    <row r="162">
      <c r="A162" s="19" t="inlineStr">
        <is>
          <t>T04/2028</t>
        </is>
      </c>
      <c r="B162" s="19" t="inlineStr">
        <is>
          <t>Gò Dầu</t>
        </is>
      </c>
      <c r="C162" s="19" t="inlineStr">
        <is>
          <t>Tân Phú</t>
        </is>
      </c>
      <c r="D162" s="47" t="n"/>
      <c r="E162" s="20" t="n"/>
      <c r="F162" s="20" t="n"/>
      <c r="G162" s="48" t="n"/>
      <c r="H162" s="48" t="n"/>
      <c r="I162" s="49">
        <f>IF(E162=0,"",F162/E162)</f>
        <v/>
      </c>
      <c r="J162" s="22">
        <f>IF(E162=0,"",G162/E162)</f>
        <v/>
      </c>
      <c r="K162" s="22">
        <f>IF(G162=0,"",G162-H162)</f>
        <v/>
      </c>
      <c r="L162" s="49">
        <f>IF(G162=0,"",(G162-H162)/G162)</f>
        <v/>
      </c>
      <c r="M162" s="50">
        <f>IF(E162=0,"",IF(I162&gt;='GIẢ ĐỊNH'!$C$8,"ĐẠT","CHƯA"))</f>
        <v/>
      </c>
    </row>
    <row r="163">
      <c r="A163" s="19" t="inlineStr">
        <is>
          <t>T04/2028</t>
        </is>
      </c>
      <c r="B163" s="19" t="inlineStr">
        <is>
          <t>Lê Thị Nho</t>
        </is>
      </c>
      <c r="C163" s="19" t="inlineStr">
        <is>
          <t>Lê Thị Nho</t>
        </is>
      </c>
      <c r="D163" s="47" t="n"/>
      <c r="E163" s="20" t="n"/>
      <c r="F163" s="20" t="n"/>
      <c r="G163" s="48" t="n"/>
      <c r="H163" s="48" t="n"/>
      <c r="I163" s="49">
        <f>IF(E163=0,"",F163/E163)</f>
        <v/>
      </c>
      <c r="J163" s="22">
        <f>IF(E163=0,"",G163/E163)</f>
        <v/>
      </c>
      <c r="K163" s="22">
        <f>IF(G163=0,"",G163-H163)</f>
        <v/>
      </c>
      <c r="L163" s="49">
        <f>IF(G163=0,"",(G163-H163)/G163)</f>
        <v/>
      </c>
      <c r="M163" s="50">
        <f>IF(E163=0,"",IF(I163&gt;='GIẢ ĐỊNH'!$C$8,"ĐẠT","CHƯA"))</f>
        <v/>
      </c>
    </row>
    <row r="164">
      <c r="A164" s="19" t="inlineStr">
        <is>
          <t>T04/2028</t>
        </is>
      </c>
      <c r="B164" s="19" t="inlineStr">
        <is>
          <t>Đỗ Thừa Luông</t>
        </is>
      </c>
      <c r="C164" s="19" t="inlineStr">
        <is>
          <t>Tân Phú</t>
        </is>
      </c>
      <c r="D164" s="47" t="n"/>
      <c r="E164" s="20" t="n"/>
      <c r="F164" s="20" t="n"/>
      <c r="G164" s="48" t="n"/>
      <c r="H164" s="48" t="n"/>
      <c r="I164" s="49">
        <f>IF(E164=0,"",F164/E164)</f>
        <v/>
      </c>
      <c r="J164" s="22">
        <f>IF(E164=0,"",G164/E164)</f>
        <v/>
      </c>
      <c r="K164" s="22">
        <f>IF(G164=0,"",G164-H164)</f>
        <v/>
      </c>
      <c r="L164" s="49">
        <f>IF(G164=0,"",(G164-H164)/G164)</f>
        <v/>
      </c>
      <c r="M164" s="50">
        <f>IF(E164=0,"",IF(I164&gt;='GIẢ ĐỊNH'!$C$8,"ĐẠT","CHƯA"))</f>
        <v/>
      </c>
    </row>
    <row r="165">
      <c r="A165" s="19" t="inlineStr">
        <is>
          <t>T05/2028</t>
        </is>
      </c>
      <c r="B165" s="19" t="inlineStr">
        <is>
          <t>Điện Biên Phủ</t>
        </is>
      </c>
      <c r="C165" s="19" t="inlineStr">
        <is>
          <t>Trung tâm</t>
        </is>
      </c>
      <c r="D165" s="47" t="n"/>
      <c r="E165" s="20" t="n"/>
      <c r="F165" s="20" t="n"/>
      <c r="G165" s="48" t="n"/>
      <c r="H165" s="48" t="n"/>
      <c r="I165" s="49">
        <f>IF(E165=0,"",F165/E165)</f>
        <v/>
      </c>
      <c r="J165" s="22">
        <f>IF(E165=0,"",G165/E165)</f>
        <v/>
      </c>
      <c r="K165" s="22">
        <f>IF(G165=0,"",G165-H165)</f>
        <v/>
      </c>
      <c r="L165" s="49">
        <f>IF(G165=0,"",(G165-H165)/G165)</f>
        <v/>
      </c>
      <c r="M165" s="50">
        <f>IF(E165=0,"",IF(I165&gt;='GIẢ ĐỊNH'!$C$8,"ĐẠT","CHƯA"))</f>
        <v/>
      </c>
    </row>
    <row r="166">
      <c r="A166" s="19" t="inlineStr">
        <is>
          <t>T05/2028</t>
        </is>
      </c>
      <c r="B166" s="19" t="inlineStr">
        <is>
          <t>Vườn Lài</t>
        </is>
      </c>
      <c r="C166" s="19" t="inlineStr">
        <is>
          <t>Tân Phú</t>
        </is>
      </c>
      <c r="D166" s="47" t="n"/>
      <c r="E166" s="20" t="n"/>
      <c r="F166" s="20" t="n"/>
      <c r="G166" s="48" t="n"/>
      <c r="H166" s="48" t="n"/>
      <c r="I166" s="49">
        <f>IF(E166=0,"",F166/E166)</f>
        <v/>
      </c>
      <c r="J166" s="22">
        <f>IF(E166=0,"",G166/E166)</f>
        <v/>
      </c>
      <c r="K166" s="22">
        <f>IF(G166=0,"",G166-H166)</f>
        <v/>
      </c>
      <c r="L166" s="49">
        <f>IF(G166=0,"",(G166-H166)/G166)</f>
        <v/>
      </c>
      <c r="M166" s="50">
        <f>IF(E166=0,"",IF(I166&gt;='GIẢ ĐỊNH'!$C$8,"ĐẠT","CHƯA"))</f>
        <v/>
      </c>
    </row>
    <row r="167">
      <c r="A167" s="19" t="inlineStr">
        <is>
          <t>T05/2028</t>
        </is>
      </c>
      <c r="B167" s="19" t="inlineStr">
        <is>
          <t>Tứ Hải</t>
        </is>
      </c>
      <c r="C167" s="19" t="inlineStr">
        <is>
          <t>Trung tâm</t>
        </is>
      </c>
      <c r="D167" s="47" t="n"/>
      <c r="E167" s="20" t="n"/>
      <c r="F167" s="20" t="n"/>
      <c r="G167" s="48" t="n"/>
      <c r="H167" s="48" t="n"/>
      <c r="I167" s="49">
        <f>IF(E167=0,"",F167/E167)</f>
        <v/>
      </c>
      <c r="J167" s="22">
        <f>IF(E167=0,"",G167/E167)</f>
        <v/>
      </c>
      <c r="K167" s="22">
        <f>IF(G167=0,"",G167-H167)</f>
        <v/>
      </c>
      <c r="L167" s="49">
        <f>IF(G167=0,"",(G167-H167)/G167)</f>
        <v/>
      </c>
      <c r="M167" s="50">
        <f>IF(E167=0,"",IF(I167&gt;='GIẢ ĐỊNH'!$C$8,"ĐẠT","CHƯA"))</f>
        <v/>
      </c>
    </row>
    <row r="168">
      <c r="A168" s="19" t="inlineStr">
        <is>
          <t>T05/2028</t>
        </is>
      </c>
      <c r="B168" s="19" t="inlineStr">
        <is>
          <t>Phó Cơ Điều</t>
        </is>
      </c>
      <c r="C168" s="19" t="inlineStr">
        <is>
          <t>Trung tâm</t>
        </is>
      </c>
      <c r="D168" s="47" t="n"/>
      <c r="E168" s="20" t="n"/>
      <c r="F168" s="20" t="n"/>
      <c r="G168" s="48" t="n"/>
      <c r="H168" s="48" t="n"/>
      <c r="I168" s="49">
        <f>IF(E168=0,"",F168/E168)</f>
        <v/>
      </c>
      <c r="J168" s="22">
        <f>IF(E168=0,"",G168/E168)</f>
        <v/>
      </c>
      <c r="K168" s="22">
        <f>IF(G168=0,"",G168-H168)</f>
        <v/>
      </c>
      <c r="L168" s="49">
        <f>IF(G168=0,"",(G168-H168)/G168)</f>
        <v/>
      </c>
      <c r="M168" s="50">
        <f>IF(E168=0,"",IF(I168&gt;='GIẢ ĐỊNH'!$C$8,"ĐẠT","CHƯA"))</f>
        <v/>
      </c>
    </row>
    <row r="169">
      <c r="A169" s="19" t="inlineStr">
        <is>
          <t>T05/2028</t>
        </is>
      </c>
      <c r="B169" s="19" t="inlineStr">
        <is>
          <t>Khuông Việt</t>
        </is>
      </c>
      <c r="C169" s="19" t="inlineStr">
        <is>
          <t>Tân Phú</t>
        </is>
      </c>
      <c r="D169" s="47" t="n"/>
      <c r="E169" s="20" t="n"/>
      <c r="F169" s="20" t="n"/>
      <c r="G169" s="48" t="n"/>
      <c r="H169" s="48" t="n"/>
      <c r="I169" s="49">
        <f>IF(E169=0,"",F169/E169)</f>
        <v/>
      </c>
      <c r="J169" s="22">
        <f>IF(E169=0,"",G169/E169)</f>
        <v/>
      </c>
      <c r="K169" s="22">
        <f>IF(G169=0,"",G169-H169)</f>
        <v/>
      </c>
      <c r="L169" s="49">
        <f>IF(G169=0,"",(G169-H169)/G169)</f>
        <v/>
      </c>
      <c r="M169" s="50">
        <f>IF(E169=0,"",IF(I169&gt;='GIẢ ĐỊNH'!$C$8,"ĐẠT","CHƯA"))</f>
        <v/>
      </c>
    </row>
    <row r="170">
      <c r="A170" s="19" t="inlineStr">
        <is>
          <t>T05/2028</t>
        </is>
      </c>
      <c r="B170" s="19" t="inlineStr">
        <is>
          <t>Gò Dầu</t>
        </is>
      </c>
      <c r="C170" s="19" t="inlineStr">
        <is>
          <t>Tân Phú</t>
        </is>
      </c>
      <c r="D170" s="47" t="n"/>
      <c r="E170" s="20" t="n"/>
      <c r="F170" s="20" t="n"/>
      <c r="G170" s="48" t="n"/>
      <c r="H170" s="48" t="n"/>
      <c r="I170" s="49">
        <f>IF(E170=0,"",F170/E170)</f>
        <v/>
      </c>
      <c r="J170" s="22">
        <f>IF(E170=0,"",G170/E170)</f>
        <v/>
      </c>
      <c r="K170" s="22">
        <f>IF(G170=0,"",G170-H170)</f>
        <v/>
      </c>
      <c r="L170" s="49">
        <f>IF(G170=0,"",(G170-H170)/G170)</f>
        <v/>
      </c>
      <c r="M170" s="50">
        <f>IF(E170=0,"",IF(I170&gt;='GIẢ ĐỊNH'!$C$8,"ĐẠT","CHƯA"))</f>
        <v/>
      </c>
    </row>
    <row r="171">
      <c r="A171" s="19" t="inlineStr">
        <is>
          <t>T05/2028</t>
        </is>
      </c>
      <c r="B171" s="19" t="inlineStr">
        <is>
          <t>Lê Thị Nho</t>
        </is>
      </c>
      <c r="C171" s="19" t="inlineStr">
        <is>
          <t>Lê Thị Nho</t>
        </is>
      </c>
      <c r="D171" s="47" t="n"/>
      <c r="E171" s="20" t="n"/>
      <c r="F171" s="20" t="n"/>
      <c r="G171" s="48" t="n"/>
      <c r="H171" s="48" t="n"/>
      <c r="I171" s="49">
        <f>IF(E171=0,"",F171/E171)</f>
        <v/>
      </c>
      <c r="J171" s="22">
        <f>IF(E171=0,"",G171/E171)</f>
        <v/>
      </c>
      <c r="K171" s="22">
        <f>IF(G171=0,"",G171-H171)</f>
        <v/>
      </c>
      <c r="L171" s="49">
        <f>IF(G171=0,"",(G171-H171)/G171)</f>
        <v/>
      </c>
      <c r="M171" s="50">
        <f>IF(E171=0,"",IF(I171&gt;='GIẢ ĐỊNH'!$C$8,"ĐẠT","CHƯA"))</f>
        <v/>
      </c>
    </row>
    <row r="172">
      <c r="A172" s="19" t="inlineStr">
        <is>
          <t>T05/2028</t>
        </is>
      </c>
      <c r="B172" s="19" t="inlineStr">
        <is>
          <t>Đỗ Thừa Luông</t>
        </is>
      </c>
      <c r="C172" s="19" t="inlineStr">
        <is>
          <t>Tân Phú</t>
        </is>
      </c>
      <c r="D172" s="47" t="n"/>
      <c r="E172" s="20" t="n"/>
      <c r="F172" s="20" t="n"/>
      <c r="G172" s="48" t="n"/>
      <c r="H172" s="48" t="n"/>
      <c r="I172" s="49">
        <f>IF(E172=0,"",F172/E172)</f>
        <v/>
      </c>
      <c r="J172" s="22">
        <f>IF(E172=0,"",G172/E172)</f>
        <v/>
      </c>
      <c r="K172" s="22">
        <f>IF(G172=0,"",G172-H172)</f>
        <v/>
      </c>
      <c r="L172" s="49">
        <f>IF(G172=0,"",(G172-H172)/G172)</f>
        <v/>
      </c>
      <c r="M172" s="50">
        <f>IF(E172=0,"",IF(I172&gt;='GIẢ ĐỊNH'!$C$8,"ĐẠT","CHƯA"))</f>
        <v/>
      </c>
    </row>
    <row r="173">
      <c r="A173" s="19" t="inlineStr">
        <is>
          <t>T06/2028</t>
        </is>
      </c>
      <c r="B173" s="19" t="inlineStr">
        <is>
          <t>Điện Biên Phủ</t>
        </is>
      </c>
      <c r="C173" s="19" t="inlineStr">
        <is>
          <t>Trung tâm</t>
        </is>
      </c>
      <c r="D173" s="47" t="n"/>
      <c r="E173" s="20" t="n"/>
      <c r="F173" s="20" t="n"/>
      <c r="G173" s="48" t="n"/>
      <c r="H173" s="48" t="n"/>
      <c r="I173" s="49">
        <f>IF(E173=0,"",F173/E173)</f>
        <v/>
      </c>
      <c r="J173" s="22">
        <f>IF(E173=0,"",G173/E173)</f>
        <v/>
      </c>
      <c r="K173" s="22">
        <f>IF(G173=0,"",G173-H173)</f>
        <v/>
      </c>
      <c r="L173" s="49">
        <f>IF(G173=0,"",(G173-H173)/G173)</f>
        <v/>
      </c>
      <c r="M173" s="50">
        <f>IF(E173=0,"",IF(I173&gt;='GIẢ ĐỊNH'!$C$8,"ĐẠT","CHƯA"))</f>
        <v/>
      </c>
    </row>
    <row r="174">
      <c r="A174" s="19" t="inlineStr">
        <is>
          <t>T06/2028</t>
        </is>
      </c>
      <c r="B174" s="19" t="inlineStr">
        <is>
          <t>Vườn Lài</t>
        </is>
      </c>
      <c r="C174" s="19" t="inlineStr">
        <is>
          <t>Tân Phú</t>
        </is>
      </c>
      <c r="D174" s="47" t="n"/>
      <c r="E174" s="20" t="n"/>
      <c r="F174" s="20" t="n"/>
      <c r="G174" s="48" t="n"/>
      <c r="H174" s="48" t="n"/>
      <c r="I174" s="49">
        <f>IF(E174=0,"",F174/E174)</f>
        <v/>
      </c>
      <c r="J174" s="22">
        <f>IF(E174=0,"",G174/E174)</f>
        <v/>
      </c>
      <c r="K174" s="22">
        <f>IF(G174=0,"",G174-H174)</f>
        <v/>
      </c>
      <c r="L174" s="49">
        <f>IF(G174=0,"",(G174-H174)/G174)</f>
        <v/>
      </c>
      <c r="M174" s="50">
        <f>IF(E174=0,"",IF(I174&gt;='GIẢ ĐỊNH'!$C$8,"ĐẠT","CHƯA"))</f>
        <v/>
      </c>
    </row>
    <row r="175">
      <c r="A175" s="19" t="inlineStr">
        <is>
          <t>T06/2028</t>
        </is>
      </c>
      <c r="B175" s="19" t="inlineStr">
        <is>
          <t>Tứ Hải</t>
        </is>
      </c>
      <c r="C175" s="19" t="inlineStr">
        <is>
          <t>Trung tâm</t>
        </is>
      </c>
      <c r="D175" s="47" t="n"/>
      <c r="E175" s="20" t="n"/>
      <c r="F175" s="20" t="n"/>
      <c r="G175" s="48" t="n"/>
      <c r="H175" s="48" t="n"/>
      <c r="I175" s="49">
        <f>IF(E175=0,"",F175/E175)</f>
        <v/>
      </c>
      <c r="J175" s="22">
        <f>IF(E175=0,"",G175/E175)</f>
        <v/>
      </c>
      <c r="K175" s="22">
        <f>IF(G175=0,"",G175-H175)</f>
        <v/>
      </c>
      <c r="L175" s="49">
        <f>IF(G175=0,"",(G175-H175)/G175)</f>
        <v/>
      </c>
      <c r="M175" s="50">
        <f>IF(E175=0,"",IF(I175&gt;='GIẢ ĐỊNH'!$C$8,"ĐẠT","CHƯA"))</f>
        <v/>
      </c>
    </row>
    <row r="176">
      <c r="A176" s="19" t="inlineStr">
        <is>
          <t>T06/2028</t>
        </is>
      </c>
      <c r="B176" s="19" t="inlineStr">
        <is>
          <t>Phó Cơ Điều</t>
        </is>
      </c>
      <c r="C176" s="19" t="inlineStr">
        <is>
          <t>Trung tâm</t>
        </is>
      </c>
      <c r="D176" s="47" t="n"/>
      <c r="E176" s="20" t="n"/>
      <c r="F176" s="20" t="n"/>
      <c r="G176" s="48" t="n"/>
      <c r="H176" s="48" t="n"/>
      <c r="I176" s="49">
        <f>IF(E176=0,"",F176/E176)</f>
        <v/>
      </c>
      <c r="J176" s="22">
        <f>IF(E176=0,"",G176/E176)</f>
        <v/>
      </c>
      <c r="K176" s="22">
        <f>IF(G176=0,"",G176-H176)</f>
        <v/>
      </c>
      <c r="L176" s="49">
        <f>IF(G176=0,"",(G176-H176)/G176)</f>
        <v/>
      </c>
      <c r="M176" s="50">
        <f>IF(E176=0,"",IF(I176&gt;='GIẢ ĐỊNH'!$C$8,"ĐẠT","CHƯA"))</f>
        <v/>
      </c>
    </row>
    <row r="177">
      <c r="A177" s="19" t="inlineStr">
        <is>
          <t>T06/2028</t>
        </is>
      </c>
      <c r="B177" s="19" t="inlineStr">
        <is>
          <t>Khuông Việt</t>
        </is>
      </c>
      <c r="C177" s="19" t="inlineStr">
        <is>
          <t>Tân Phú</t>
        </is>
      </c>
      <c r="D177" s="47" t="n"/>
      <c r="E177" s="20" t="n"/>
      <c r="F177" s="20" t="n"/>
      <c r="G177" s="48" t="n"/>
      <c r="H177" s="48" t="n"/>
      <c r="I177" s="49">
        <f>IF(E177=0,"",F177/E177)</f>
        <v/>
      </c>
      <c r="J177" s="22">
        <f>IF(E177=0,"",G177/E177)</f>
        <v/>
      </c>
      <c r="K177" s="22">
        <f>IF(G177=0,"",G177-H177)</f>
        <v/>
      </c>
      <c r="L177" s="49">
        <f>IF(G177=0,"",(G177-H177)/G177)</f>
        <v/>
      </c>
      <c r="M177" s="50">
        <f>IF(E177=0,"",IF(I177&gt;='GIẢ ĐỊNH'!$C$8,"ĐẠT","CHƯA"))</f>
        <v/>
      </c>
    </row>
    <row r="178">
      <c r="A178" s="19" t="inlineStr">
        <is>
          <t>T06/2028</t>
        </is>
      </c>
      <c r="B178" s="19" t="inlineStr">
        <is>
          <t>Gò Dầu</t>
        </is>
      </c>
      <c r="C178" s="19" t="inlineStr">
        <is>
          <t>Tân Phú</t>
        </is>
      </c>
      <c r="D178" s="47" t="n"/>
      <c r="E178" s="20" t="n"/>
      <c r="F178" s="20" t="n"/>
      <c r="G178" s="48" t="n"/>
      <c r="H178" s="48" t="n"/>
      <c r="I178" s="49">
        <f>IF(E178=0,"",F178/E178)</f>
        <v/>
      </c>
      <c r="J178" s="22">
        <f>IF(E178=0,"",G178/E178)</f>
        <v/>
      </c>
      <c r="K178" s="22">
        <f>IF(G178=0,"",G178-H178)</f>
        <v/>
      </c>
      <c r="L178" s="49">
        <f>IF(G178=0,"",(G178-H178)/G178)</f>
        <v/>
      </c>
      <c r="M178" s="50">
        <f>IF(E178=0,"",IF(I178&gt;='GIẢ ĐỊNH'!$C$8,"ĐẠT","CHƯA"))</f>
        <v/>
      </c>
    </row>
    <row r="179">
      <c r="A179" s="19" t="inlineStr">
        <is>
          <t>T06/2028</t>
        </is>
      </c>
      <c r="B179" s="19" t="inlineStr">
        <is>
          <t>Lê Thị Nho</t>
        </is>
      </c>
      <c r="C179" s="19" t="inlineStr">
        <is>
          <t>Lê Thị Nho</t>
        </is>
      </c>
      <c r="D179" s="47" t="n"/>
      <c r="E179" s="20" t="n"/>
      <c r="F179" s="20" t="n"/>
      <c r="G179" s="48" t="n"/>
      <c r="H179" s="48" t="n"/>
      <c r="I179" s="49">
        <f>IF(E179=0,"",F179/E179)</f>
        <v/>
      </c>
      <c r="J179" s="22">
        <f>IF(E179=0,"",G179/E179)</f>
        <v/>
      </c>
      <c r="K179" s="22">
        <f>IF(G179=0,"",G179-H179)</f>
        <v/>
      </c>
      <c r="L179" s="49">
        <f>IF(G179=0,"",(G179-H179)/G179)</f>
        <v/>
      </c>
      <c r="M179" s="50">
        <f>IF(E179=0,"",IF(I179&gt;='GIẢ ĐỊNH'!$C$8,"ĐẠT","CHƯA"))</f>
        <v/>
      </c>
    </row>
    <row r="180">
      <c r="A180" s="19" t="inlineStr">
        <is>
          <t>T06/2028</t>
        </is>
      </c>
      <c r="B180" s="19" t="inlineStr">
        <is>
          <t>Đỗ Thừa Luông</t>
        </is>
      </c>
      <c r="C180" s="19" t="inlineStr">
        <is>
          <t>Tân Phú</t>
        </is>
      </c>
      <c r="D180" s="47" t="n"/>
      <c r="E180" s="20" t="n"/>
      <c r="F180" s="20" t="n"/>
      <c r="G180" s="48" t="n"/>
      <c r="H180" s="48" t="n"/>
      <c r="I180" s="49">
        <f>IF(E180=0,"",F180/E180)</f>
        <v/>
      </c>
      <c r="J180" s="22">
        <f>IF(E180=0,"",G180/E180)</f>
        <v/>
      </c>
      <c r="K180" s="22">
        <f>IF(G180=0,"",G180-H180)</f>
        <v/>
      </c>
      <c r="L180" s="49">
        <f>IF(G180=0,"",(G180-H180)/G180)</f>
        <v/>
      </c>
      <c r="M180" s="50">
        <f>IF(E180=0,"",IF(I180&gt;='GIẢ ĐỊNH'!$C$8,"ĐẠT","CHƯA"))</f>
        <v/>
      </c>
    </row>
    <row r="181">
      <c r="A181" s="19" t="inlineStr">
        <is>
          <t>T07/2028</t>
        </is>
      </c>
      <c r="B181" s="19" t="inlineStr">
        <is>
          <t>Điện Biên Phủ</t>
        </is>
      </c>
      <c r="C181" s="19" t="inlineStr">
        <is>
          <t>Trung tâm</t>
        </is>
      </c>
      <c r="D181" s="47" t="n"/>
      <c r="E181" s="20" t="n"/>
      <c r="F181" s="20" t="n"/>
      <c r="G181" s="48" t="n"/>
      <c r="H181" s="48" t="n"/>
      <c r="I181" s="49">
        <f>IF(E181=0,"",F181/E181)</f>
        <v/>
      </c>
      <c r="J181" s="22">
        <f>IF(E181=0,"",G181/E181)</f>
        <v/>
      </c>
      <c r="K181" s="22">
        <f>IF(G181=0,"",G181-H181)</f>
        <v/>
      </c>
      <c r="L181" s="49">
        <f>IF(G181=0,"",(G181-H181)/G181)</f>
        <v/>
      </c>
      <c r="M181" s="50">
        <f>IF(E181=0,"",IF(I181&gt;='GIẢ ĐỊNH'!$C$8,"ĐẠT","CHƯA"))</f>
        <v/>
      </c>
    </row>
    <row r="182">
      <c r="A182" s="19" t="inlineStr">
        <is>
          <t>T07/2028</t>
        </is>
      </c>
      <c r="B182" s="19" t="inlineStr">
        <is>
          <t>Vườn Lài</t>
        </is>
      </c>
      <c r="C182" s="19" t="inlineStr">
        <is>
          <t>Tân Phú</t>
        </is>
      </c>
      <c r="D182" s="47" t="n"/>
      <c r="E182" s="20" t="n"/>
      <c r="F182" s="20" t="n"/>
      <c r="G182" s="48" t="n"/>
      <c r="H182" s="48" t="n"/>
      <c r="I182" s="49">
        <f>IF(E182=0,"",F182/E182)</f>
        <v/>
      </c>
      <c r="J182" s="22">
        <f>IF(E182=0,"",G182/E182)</f>
        <v/>
      </c>
      <c r="K182" s="22">
        <f>IF(G182=0,"",G182-H182)</f>
        <v/>
      </c>
      <c r="L182" s="49">
        <f>IF(G182=0,"",(G182-H182)/G182)</f>
        <v/>
      </c>
      <c r="M182" s="50">
        <f>IF(E182=0,"",IF(I182&gt;='GIẢ ĐỊNH'!$C$8,"ĐẠT","CHƯA"))</f>
        <v/>
      </c>
    </row>
    <row r="183">
      <c r="A183" s="19" t="inlineStr">
        <is>
          <t>T07/2028</t>
        </is>
      </c>
      <c r="B183" s="19" t="inlineStr">
        <is>
          <t>Tứ Hải</t>
        </is>
      </c>
      <c r="C183" s="19" t="inlineStr">
        <is>
          <t>Trung tâm</t>
        </is>
      </c>
      <c r="D183" s="47" t="n"/>
      <c r="E183" s="20" t="n"/>
      <c r="F183" s="20" t="n"/>
      <c r="G183" s="48" t="n"/>
      <c r="H183" s="48" t="n"/>
      <c r="I183" s="49">
        <f>IF(E183=0,"",F183/E183)</f>
        <v/>
      </c>
      <c r="J183" s="22">
        <f>IF(E183=0,"",G183/E183)</f>
        <v/>
      </c>
      <c r="K183" s="22">
        <f>IF(G183=0,"",G183-H183)</f>
        <v/>
      </c>
      <c r="L183" s="49">
        <f>IF(G183=0,"",(G183-H183)/G183)</f>
        <v/>
      </c>
      <c r="M183" s="50">
        <f>IF(E183=0,"",IF(I183&gt;='GIẢ ĐỊNH'!$C$8,"ĐẠT","CHƯA"))</f>
        <v/>
      </c>
    </row>
    <row r="184">
      <c r="A184" s="19" t="inlineStr">
        <is>
          <t>T07/2028</t>
        </is>
      </c>
      <c r="B184" s="19" t="inlineStr">
        <is>
          <t>Phó Cơ Điều</t>
        </is>
      </c>
      <c r="C184" s="19" t="inlineStr">
        <is>
          <t>Trung tâm</t>
        </is>
      </c>
      <c r="D184" s="47" t="n"/>
      <c r="E184" s="20" t="n"/>
      <c r="F184" s="20" t="n"/>
      <c r="G184" s="48" t="n"/>
      <c r="H184" s="48" t="n"/>
      <c r="I184" s="49">
        <f>IF(E184=0,"",F184/E184)</f>
        <v/>
      </c>
      <c r="J184" s="22">
        <f>IF(E184=0,"",G184/E184)</f>
        <v/>
      </c>
      <c r="K184" s="22">
        <f>IF(G184=0,"",G184-H184)</f>
        <v/>
      </c>
      <c r="L184" s="49">
        <f>IF(G184=0,"",(G184-H184)/G184)</f>
        <v/>
      </c>
      <c r="M184" s="50">
        <f>IF(E184=0,"",IF(I184&gt;='GIẢ ĐỊNH'!$C$8,"ĐẠT","CHƯA"))</f>
        <v/>
      </c>
    </row>
    <row r="185">
      <c r="A185" s="19" t="inlineStr">
        <is>
          <t>T07/2028</t>
        </is>
      </c>
      <c r="B185" s="19" t="inlineStr">
        <is>
          <t>Khuông Việt</t>
        </is>
      </c>
      <c r="C185" s="19" t="inlineStr">
        <is>
          <t>Tân Phú</t>
        </is>
      </c>
      <c r="D185" s="47" t="n"/>
      <c r="E185" s="20" t="n"/>
      <c r="F185" s="20" t="n"/>
      <c r="G185" s="48" t="n"/>
      <c r="H185" s="48" t="n"/>
      <c r="I185" s="49">
        <f>IF(E185=0,"",F185/E185)</f>
        <v/>
      </c>
      <c r="J185" s="22">
        <f>IF(E185=0,"",G185/E185)</f>
        <v/>
      </c>
      <c r="K185" s="22">
        <f>IF(G185=0,"",G185-H185)</f>
        <v/>
      </c>
      <c r="L185" s="49">
        <f>IF(G185=0,"",(G185-H185)/G185)</f>
        <v/>
      </c>
      <c r="M185" s="50">
        <f>IF(E185=0,"",IF(I185&gt;='GIẢ ĐỊNH'!$C$8,"ĐẠT","CHƯA"))</f>
        <v/>
      </c>
    </row>
    <row r="186">
      <c r="A186" s="19" t="inlineStr">
        <is>
          <t>T07/2028</t>
        </is>
      </c>
      <c r="B186" s="19" t="inlineStr">
        <is>
          <t>Gò Dầu</t>
        </is>
      </c>
      <c r="C186" s="19" t="inlineStr">
        <is>
          <t>Tân Phú</t>
        </is>
      </c>
      <c r="D186" s="47" t="n"/>
      <c r="E186" s="20" t="n"/>
      <c r="F186" s="20" t="n"/>
      <c r="G186" s="48" t="n"/>
      <c r="H186" s="48" t="n"/>
      <c r="I186" s="49">
        <f>IF(E186=0,"",F186/E186)</f>
        <v/>
      </c>
      <c r="J186" s="22">
        <f>IF(E186=0,"",G186/E186)</f>
        <v/>
      </c>
      <c r="K186" s="22">
        <f>IF(G186=0,"",G186-H186)</f>
        <v/>
      </c>
      <c r="L186" s="49">
        <f>IF(G186=0,"",(G186-H186)/G186)</f>
        <v/>
      </c>
      <c r="M186" s="50">
        <f>IF(E186=0,"",IF(I186&gt;='GIẢ ĐỊNH'!$C$8,"ĐẠT","CHƯA"))</f>
        <v/>
      </c>
    </row>
    <row r="187">
      <c r="A187" s="19" t="inlineStr">
        <is>
          <t>T07/2028</t>
        </is>
      </c>
      <c r="B187" s="19" t="inlineStr">
        <is>
          <t>Lê Thị Nho</t>
        </is>
      </c>
      <c r="C187" s="19" t="inlineStr">
        <is>
          <t>Lê Thị Nho</t>
        </is>
      </c>
      <c r="D187" s="47" t="n"/>
      <c r="E187" s="20" t="n"/>
      <c r="F187" s="20" t="n"/>
      <c r="G187" s="48" t="n"/>
      <c r="H187" s="48" t="n"/>
      <c r="I187" s="49">
        <f>IF(E187=0,"",F187/E187)</f>
        <v/>
      </c>
      <c r="J187" s="22">
        <f>IF(E187=0,"",G187/E187)</f>
        <v/>
      </c>
      <c r="K187" s="22">
        <f>IF(G187=0,"",G187-H187)</f>
        <v/>
      </c>
      <c r="L187" s="49">
        <f>IF(G187=0,"",(G187-H187)/G187)</f>
        <v/>
      </c>
      <c r="M187" s="50">
        <f>IF(E187=0,"",IF(I187&gt;='GIẢ ĐỊNH'!$C$8,"ĐẠT","CHƯA"))</f>
        <v/>
      </c>
    </row>
    <row r="188">
      <c r="A188" s="19" t="inlineStr">
        <is>
          <t>T07/2028</t>
        </is>
      </c>
      <c r="B188" s="19" t="inlineStr">
        <is>
          <t>Đỗ Thừa Luông</t>
        </is>
      </c>
      <c r="C188" s="19" t="inlineStr">
        <is>
          <t>Tân Phú</t>
        </is>
      </c>
      <c r="D188" s="47" t="n"/>
      <c r="E188" s="20" t="n"/>
      <c r="F188" s="20" t="n"/>
      <c r="G188" s="48" t="n"/>
      <c r="H188" s="48" t="n"/>
      <c r="I188" s="49">
        <f>IF(E188=0,"",F188/E188)</f>
        <v/>
      </c>
      <c r="J188" s="22">
        <f>IF(E188=0,"",G188/E188)</f>
        <v/>
      </c>
      <c r="K188" s="22">
        <f>IF(G188=0,"",G188-H188)</f>
        <v/>
      </c>
      <c r="L188" s="49">
        <f>IF(G188=0,"",(G188-H188)/G188)</f>
        <v/>
      </c>
      <c r="M188" s="50">
        <f>IF(E188=0,"",IF(I188&gt;='GIẢ ĐỊNH'!$C$8,"ĐẠT","CHƯA"))</f>
        <v/>
      </c>
    </row>
    <row r="189">
      <c r="A189" s="19" t="inlineStr">
        <is>
          <t>T08/2028</t>
        </is>
      </c>
      <c r="B189" s="19" t="inlineStr">
        <is>
          <t>Điện Biên Phủ</t>
        </is>
      </c>
      <c r="C189" s="19" t="inlineStr">
        <is>
          <t>Trung tâm</t>
        </is>
      </c>
      <c r="D189" s="47" t="n"/>
      <c r="E189" s="20" t="n"/>
      <c r="F189" s="20" t="n"/>
      <c r="G189" s="48" t="n"/>
      <c r="H189" s="48" t="n"/>
      <c r="I189" s="49">
        <f>IF(E189=0,"",F189/E189)</f>
        <v/>
      </c>
      <c r="J189" s="22">
        <f>IF(E189=0,"",G189/E189)</f>
        <v/>
      </c>
      <c r="K189" s="22">
        <f>IF(G189=0,"",G189-H189)</f>
        <v/>
      </c>
      <c r="L189" s="49">
        <f>IF(G189=0,"",(G189-H189)/G189)</f>
        <v/>
      </c>
      <c r="M189" s="50">
        <f>IF(E189=0,"",IF(I189&gt;='GIẢ ĐỊNH'!$C$8,"ĐẠT","CHƯA"))</f>
        <v/>
      </c>
    </row>
    <row r="190">
      <c r="A190" s="19" t="inlineStr">
        <is>
          <t>T08/2028</t>
        </is>
      </c>
      <c r="B190" s="19" t="inlineStr">
        <is>
          <t>Vườn Lài</t>
        </is>
      </c>
      <c r="C190" s="19" t="inlineStr">
        <is>
          <t>Tân Phú</t>
        </is>
      </c>
      <c r="D190" s="47" t="n"/>
      <c r="E190" s="20" t="n"/>
      <c r="F190" s="20" t="n"/>
      <c r="G190" s="48" t="n"/>
      <c r="H190" s="48" t="n"/>
      <c r="I190" s="49">
        <f>IF(E190=0,"",F190/E190)</f>
        <v/>
      </c>
      <c r="J190" s="22">
        <f>IF(E190=0,"",G190/E190)</f>
        <v/>
      </c>
      <c r="K190" s="22">
        <f>IF(G190=0,"",G190-H190)</f>
        <v/>
      </c>
      <c r="L190" s="49">
        <f>IF(G190=0,"",(G190-H190)/G190)</f>
        <v/>
      </c>
      <c r="M190" s="50">
        <f>IF(E190=0,"",IF(I190&gt;='GIẢ ĐỊNH'!$C$8,"ĐẠT","CHƯA"))</f>
        <v/>
      </c>
    </row>
    <row r="191">
      <c r="A191" s="19" t="inlineStr">
        <is>
          <t>T08/2028</t>
        </is>
      </c>
      <c r="B191" s="19" t="inlineStr">
        <is>
          <t>Tứ Hải</t>
        </is>
      </c>
      <c r="C191" s="19" t="inlineStr">
        <is>
          <t>Trung tâm</t>
        </is>
      </c>
      <c r="D191" s="47" t="n"/>
      <c r="E191" s="20" t="n"/>
      <c r="F191" s="20" t="n"/>
      <c r="G191" s="48" t="n"/>
      <c r="H191" s="48" t="n"/>
      <c r="I191" s="49">
        <f>IF(E191=0,"",F191/E191)</f>
        <v/>
      </c>
      <c r="J191" s="22">
        <f>IF(E191=0,"",G191/E191)</f>
        <v/>
      </c>
      <c r="K191" s="22">
        <f>IF(G191=0,"",G191-H191)</f>
        <v/>
      </c>
      <c r="L191" s="49">
        <f>IF(G191=0,"",(G191-H191)/G191)</f>
        <v/>
      </c>
      <c r="M191" s="50">
        <f>IF(E191=0,"",IF(I191&gt;='GIẢ ĐỊNH'!$C$8,"ĐẠT","CHƯA"))</f>
        <v/>
      </c>
    </row>
    <row r="192">
      <c r="A192" s="19" t="inlineStr">
        <is>
          <t>T08/2028</t>
        </is>
      </c>
      <c r="B192" s="19" t="inlineStr">
        <is>
          <t>Phó Cơ Điều</t>
        </is>
      </c>
      <c r="C192" s="19" t="inlineStr">
        <is>
          <t>Trung tâm</t>
        </is>
      </c>
      <c r="D192" s="47" t="n"/>
      <c r="E192" s="20" t="n"/>
      <c r="F192" s="20" t="n"/>
      <c r="G192" s="48" t="n"/>
      <c r="H192" s="48" t="n"/>
      <c r="I192" s="49">
        <f>IF(E192=0,"",F192/E192)</f>
        <v/>
      </c>
      <c r="J192" s="22">
        <f>IF(E192=0,"",G192/E192)</f>
        <v/>
      </c>
      <c r="K192" s="22">
        <f>IF(G192=0,"",G192-H192)</f>
        <v/>
      </c>
      <c r="L192" s="49">
        <f>IF(G192=0,"",(G192-H192)/G192)</f>
        <v/>
      </c>
      <c r="M192" s="50">
        <f>IF(E192=0,"",IF(I192&gt;='GIẢ ĐỊNH'!$C$8,"ĐẠT","CHƯA"))</f>
        <v/>
      </c>
    </row>
    <row r="193">
      <c r="A193" s="19" t="inlineStr">
        <is>
          <t>T08/2028</t>
        </is>
      </c>
      <c r="B193" s="19" t="inlineStr">
        <is>
          <t>Khuông Việt</t>
        </is>
      </c>
      <c r="C193" s="19" t="inlineStr">
        <is>
          <t>Tân Phú</t>
        </is>
      </c>
      <c r="D193" s="47" t="n"/>
      <c r="E193" s="20" t="n"/>
      <c r="F193" s="20" t="n"/>
      <c r="G193" s="48" t="n"/>
      <c r="H193" s="48" t="n"/>
      <c r="I193" s="49">
        <f>IF(E193=0,"",F193/E193)</f>
        <v/>
      </c>
      <c r="J193" s="22">
        <f>IF(E193=0,"",G193/E193)</f>
        <v/>
      </c>
      <c r="K193" s="22">
        <f>IF(G193=0,"",G193-H193)</f>
        <v/>
      </c>
      <c r="L193" s="49">
        <f>IF(G193=0,"",(G193-H193)/G193)</f>
        <v/>
      </c>
      <c r="M193" s="50">
        <f>IF(E193=0,"",IF(I193&gt;='GIẢ ĐỊNH'!$C$8,"ĐẠT","CHƯA"))</f>
        <v/>
      </c>
    </row>
    <row r="194">
      <c r="A194" s="19" t="inlineStr">
        <is>
          <t>T08/2028</t>
        </is>
      </c>
      <c r="B194" s="19" t="inlineStr">
        <is>
          <t>Gò Dầu</t>
        </is>
      </c>
      <c r="C194" s="19" t="inlineStr">
        <is>
          <t>Tân Phú</t>
        </is>
      </c>
      <c r="D194" s="47" t="n"/>
      <c r="E194" s="20" t="n"/>
      <c r="F194" s="20" t="n"/>
      <c r="G194" s="48" t="n"/>
      <c r="H194" s="48" t="n"/>
      <c r="I194" s="49">
        <f>IF(E194=0,"",F194/E194)</f>
        <v/>
      </c>
      <c r="J194" s="22">
        <f>IF(E194=0,"",G194/E194)</f>
        <v/>
      </c>
      <c r="K194" s="22">
        <f>IF(G194=0,"",G194-H194)</f>
        <v/>
      </c>
      <c r="L194" s="49">
        <f>IF(G194=0,"",(G194-H194)/G194)</f>
        <v/>
      </c>
      <c r="M194" s="50">
        <f>IF(E194=0,"",IF(I194&gt;='GIẢ ĐỊNH'!$C$8,"ĐẠT","CHƯA"))</f>
        <v/>
      </c>
    </row>
    <row r="195">
      <c r="A195" s="19" t="inlineStr">
        <is>
          <t>T08/2028</t>
        </is>
      </c>
      <c r="B195" s="19" t="inlineStr">
        <is>
          <t>Lê Thị Nho</t>
        </is>
      </c>
      <c r="C195" s="19" t="inlineStr">
        <is>
          <t>Lê Thị Nho</t>
        </is>
      </c>
      <c r="D195" s="47" t="n"/>
      <c r="E195" s="20" t="n"/>
      <c r="F195" s="20" t="n"/>
      <c r="G195" s="48" t="n"/>
      <c r="H195" s="48" t="n"/>
      <c r="I195" s="49">
        <f>IF(E195=0,"",F195/E195)</f>
        <v/>
      </c>
      <c r="J195" s="22">
        <f>IF(E195=0,"",G195/E195)</f>
        <v/>
      </c>
      <c r="K195" s="22">
        <f>IF(G195=0,"",G195-H195)</f>
        <v/>
      </c>
      <c r="L195" s="49">
        <f>IF(G195=0,"",(G195-H195)/G195)</f>
        <v/>
      </c>
      <c r="M195" s="50">
        <f>IF(E195=0,"",IF(I195&gt;='GIẢ ĐỊNH'!$C$8,"ĐẠT","CHƯA"))</f>
        <v/>
      </c>
    </row>
    <row r="196">
      <c r="A196" s="19" t="inlineStr">
        <is>
          <t>T08/2028</t>
        </is>
      </c>
      <c r="B196" s="19" t="inlineStr">
        <is>
          <t>Đỗ Thừa Luông</t>
        </is>
      </c>
      <c r="C196" s="19" t="inlineStr">
        <is>
          <t>Tân Phú</t>
        </is>
      </c>
      <c r="D196" s="47" t="n"/>
      <c r="E196" s="20" t="n"/>
      <c r="F196" s="20" t="n"/>
      <c r="G196" s="48" t="n"/>
      <c r="H196" s="48" t="n"/>
      <c r="I196" s="49">
        <f>IF(E196=0,"",F196/E196)</f>
        <v/>
      </c>
      <c r="J196" s="22">
        <f>IF(E196=0,"",G196/E196)</f>
        <v/>
      </c>
      <c r="K196" s="22">
        <f>IF(G196=0,"",G196-H196)</f>
        <v/>
      </c>
      <c r="L196" s="49">
        <f>IF(G196=0,"",(G196-H196)/G196)</f>
        <v/>
      </c>
      <c r="M196" s="50">
        <f>IF(E196=0,"",IF(I196&gt;='GIẢ ĐỊNH'!$C$8,"ĐẠT","CHƯA"))</f>
        <v/>
      </c>
    </row>
    <row r="197">
      <c r="A197" s="19" t="inlineStr">
        <is>
          <t>T09/2028</t>
        </is>
      </c>
      <c r="B197" s="19" t="inlineStr">
        <is>
          <t>Điện Biên Phủ</t>
        </is>
      </c>
      <c r="C197" s="19" t="inlineStr">
        <is>
          <t>Trung tâm</t>
        </is>
      </c>
      <c r="D197" s="47" t="n"/>
      <c r="E197" s="20" t="n"/>
      <c r="F197" s="20" t="n"/>
      <c r="G197" s="48" t="n"/>
      <c r="H197" s="48" t="n"/>
      <c r="I197" s="49">
        <f>IF(E197=0,"",F197/E197)</f>
        <v/>
      </c>
      <c r="J197" s="22">
        <f>IF(E197=0,"",G197/E197)</f>
        <v/>
      </c>
      <c r="K197" s="22">
        <f>IF(G197=0,"",G197-H197)</f>
        <v/>
      </c>
      <c r="L197" s="49">
        <f>IF(G197=0,"",(G197-H197)/G197)</f>
        <v/>
      </c>
      <c r="M197" s="50">
        <f>IF(E197=0,"",IF(I197&gt;='GIẢ ĐỊNH'!$C$8,"ĐẠT","CHƯA"))</f>
        <v/>
      </c>
    </row>
    <row r="198">
      <c r="A198" s="19" t="inlineStr">
        <is>
          <t>T09/2028</t>
        </is>
      </c>
      <c r="B198" s="19" t="inlineStr">
        <is>
          <t>Vườn Lài</t>
        </is>
      </c>
      <c r="C198" s="19" t="inlineStr">
        <is>
          <t>Tân Phú</t>
        </is>
      </c>
      <c r="D198" s="47" t="n"/>
      <c r="E198" s="20" t="n"/>
      <c r="F198" s="20" t="n"/>
      <c r="G198" s="48" t="n"/>
      <c r="H198" s="48" t="n"/>
      <c r="I198" s="49">
        <f>IF(E198=0,"",F198/E198)</f>
        <v/>
      </c>
      <c r="J198" s="22">
        <f>IF(E198=0,"",G198/E198)</f>
        <v/>
      </c>
      <c r="K198" s="22">
        <f>IF(G198=0,"",G198-H198)</f>
        <v/>
      </c>
      <c r="L198" s="49">
        <f>IF(G198=0,"",(G198-H198)/G198)</f>
        <v/>
      </c>
      <c r="M198" s="50">
        <f>IF(E198=0,"",IF(I198&gt;='GIẢ ĐỊNH'!$C$8,"ĐẠT","CHƯA"))</f>
        <v/>
      </c>
    </row>
    <row r="199">
      <c r="A199" s="19" t="inlineStr">
        <is>
          <t>T09/2028</t>
        </is>
      </c>
      <c r="B199" s="19" t="inlineStr">
        <is>
          <t>Tứ Hải</t>
        </is>
      </c>
      <c r="C199" s="19" t="inlineStr">
        <is>
          <t>Trung tâm</t>
        </is>
      </c>
      <c r="D199" s="47" t="n"/>
      <c r="E199" s="20" t="n"/>
      <c r="F199" s="20" t="n"/>
      <c r="G199" s="48" t="n"/>
      <c r="H199" s="48" t="n"/>
      <c r="I199" s="49">
        <f>IF(E199=0,"",F199/E199)</f>
        <v/>
      </c>
      <c r="J199" s="22">
        <f>IF(E199=0,"",G199/E199)</f>
        <v/>
      </c>
      <c r="K199" s="22">
        <f>IF(G199=0,"",G199-H199)</f>
        <v/>
      </c>
      <c r="L199" s="49">
        <f>IF(G199=0,"",(G199-H199)/G199)</f>
        <v/>
      </c>
      <c r="M199" s="50">
        <f>IF(E199=0,"",IF(I199&gt;='GIẢ ĐỊNH'!$C$8,"ĐẠT","CHƯA"))</f>
        <v/>
      </c>
    </row>
    <row r="200">
      <c r="A200" s="19" t="inlineStr">
        <is>
          <t>T09/2028</t>
        </is>
      </c>
      <c r="B200" s="19" t="inlineStr">
        <is>
          <t>Phó Cơ Điều</t>
        </is>
      </c>
      <c r="C200" s="19" t="inlineStr">
        <is>
          <t>Trung tâm</t>
        </is>
      </c>
      <c r="D200" s="47" t="n"/>
      <c r="E200" s="20" t="n"/>
      <c r="F200" s="20" t="n"/>
      <c r="G200" s="48" t="n"/>
      <c r="H200" s="48" t="n"/>
      <c r="I200" s="49">
        <f>IF(E200=0,"",F200/E200)</f>
        <v/>
      </c>
      <c r="J200" s="22">
        <f>IF(E200=0,"",G200/E200)</f>
        <v/>
      </c>
      <c r="K200" s="22">
        <f>IF(G200=0,"",G200-H200)</f>
        <v/>
      </c>
      <c r="L200" s="49">
        <f>IF(G200=0,"",(G200-H200)/G200)</f>
        <v/>
      </c>
      <c r="M200" s="50">
        <f>IF(E200=0,"",IF(I200&gt;='GIẢ ĐỊNH'!$C$8,"ĐẠT","CHƯA"))</f>
        <v/>
      </c>
    </row>
    <row r="201">
      <c r="A201" s="19" t="inlineStr">
        <is>
          <t>T09/2028</t>
        </is>
      </c>
      <c r="B201" s="19" t="inlineStr">
        <is>
          <t>Khuông Việt</t>
        </is>
      </c>
      <c r="C201" s="19" t="inlineStr">
        <is>
          <t>Tân Phú</t>
        </is>
      </c>
      <c r="D201" s="47" t="n"/>
      <c r="E201" s="20" t="n"/>
      <c r="F201" s="20" t="n"/>
      <c r="G201" s="48" t="n"/>
      <c r="H201" s="48" t="n"/>
      <c r="I201" s="49">
        <f>IF(E201=0,"",F201/E201)</f>
        <v/>
      </c>
      <c r="J201" s="22">
        <f>IF(E201=0,"",G201/E201)</f>
        <v/>
      </c>
      <c r="K201" s="22">
        <f>IF(G201=0,"",G201-H201)</f>
        <v/>
      </c>
      <c r="L201" s="49">
        <f>IF(G201=0,"",(G201-H201)/G201)</f>
        <v/>
      </c>
      <c r="M201" s="50">
        <f>IF(E201=0,"",IF(I201&gt;='GIẢ ĐỊNH'!$C$8,"ĐẠT","CHƯA"))</f>
        <v/>
      </c>
    </row>
    <row r="202">
      <c r="A202" s="19" t="inlineStr">
        <is>
          <t>T09/2028</t>
        </is>
      </c>
      <c r="B202" s="19" t="inlineStr">
        <is>
          <t>Gò Dầu</t>
        </is>
      </c>
      <c r="C202" s="19" t="inlineStr">
        <is>
          <t>Tân Phú</t>
        </is>
      </c>
      <c r="D202" s="47" t="n"/>
      <c r="E202" s="20" t="n"/>
      <c r="F202" s="20" t="n"/>
      <c r="G202" s="48" t="n"/>
      <c r="H202" s="48" t="n"/>
      <c r="I202" s="49">
        <f>IF(E202=0,"",F202/E202)</f>
        <v/>
      </c>
      <c r="J202" s="22">
        <f>IF(E202=0,"",G202/E202)</f>
        <v/>
      </c>
      <c r="K202" s="22">
        <f>IF(G202=0,"",G202-H202)</f>
        <v/>
      </c>
      <c r="L202" s="49">
        <f>IF(G202=0,"",(G202-H202)/G202)</f>
        <v/>
      </c>
      <c r="M202" s="50">
        <f>IF(E202=0,"",IF(I202&gt;='GIẢ ĐỊNH'!$C$8,"ĐẠT","CHƯA"))</f>
        <v/>
      </c>
    </row>
    <row r="203">
      <c r="A203" s="19" t="inlineStr">
        <is>
          <t>T09/2028</t>
        </is>
      </c>
      <c r="B203" s="19" t="inlineStr">
        <is>
          <t>Lê Thị Nho</t>
        </is>
      </c>
      <c r="C203" s="19" t="inlineStr">
        <is>
          <t>Lê Thị Nho</t>
        </is>
      </c>
      <c r="D203" s="47" t="n"/>
      <c r="E203" s="20" t="n"/>
      <c r="F203" s="20" t="n"/>
      <c r="G203" s="48" t="n"/>
      <c r="H203" s="48" t="n"/>
      <c r="I203" s="49">
        <f>IF(E203=0,"",F203/E203)</f>
        <v/>
      </c>
      <c r="J203" s="22">
        <f>IF(E203=0,"",G203/E203)</f>
        <v/>
      </c>
      <c r="K203" s="22">
        <f>IF(G203=0,"",G203-H203)</f>
        <v/>
      </c>
      <c r="L203" s="49">
        <f>IF(G203=0,"",(G203-H203)/G203)</f>
        <v/>
      </c>
      <c r="M203" s="50">
        <f>IF(E203=0,"",IF(I203&gt;='GIẢ ĐỊNH'!$C$8,"ĐẠT","CHƯA"))</f>
        <v/>
      </c>
    </row>
    <row r="204">
      <c r="A204" s="19" t="inlineStr">
        <is>
          <t>T09/2028</t>
        </is>
      </c>
      <c r="B204" s="19" t="inlineStr">
        <is>
          <t>Đỗ Thừa Luông</t>
        </is>
      </c>
      <c r="C204" s="19" t="inlineStr">
        <is>
          <t>Tân Phú</t>
        </is>
      </c>
      <c r="D204" s="47" t="n"/>
      <c r="E204" s="20" t="n"/>
      <c r="F204" s="20" t="n"/>
      <c r="G204" s="48" t="n"/>
      <c r="H204" s="48" t="n"/>
      <c r="I204" s="49">
        <f>IF(E204=0,"",F204/E204)</f>
        <v/>
      </c>
      <c r="J204" s="22">
        <f>IF(E204=0,"",G204/E204)</f>
        <v/>
      </c>
      <c r="K204" s="22">
        <f>IF(G204=0,"",G204-H204)</f>
        <v/>
      </c>
      <c r="L204" s="49">
        <f>IF(G204=0,"",(G204-H204)/G204)</f>
        <v/>
      </c>
      <c r="M204" s="50">
        <f>IF(E204=0,"",IF(I204&gt;='GIẢ ĐỊNH'!$C$8,"ĐẠT","CHƯA"))</f>
        <v/>
      </c>
    </row>
    <row r="205">
      <c r="A205" s="19" t="inlineStr">
        <is>
          <t>T10/2028</t>
        </is>
      </c>
      <c r="B205" s="19" t="inlineStr">
        <is>
          <t>Điện Biên Phủ</t>
        </is>
      </c>
      <c r="C205" s="19" t="inlineStr">
        <is>
          <t>Trung tâm</t>
        </is>
      </c>
      <c r="D205" s="47" t="n"/>
      <c r="E205" s="20" t="n"/>
      <c r="F205" s="20" t="n"/>
      <c r="G205" s="48" t="n"/>
      <c r="H205" s="48" t="n"/>
      <c r="I205" s="49">
        <f>IF(E205=0,"",F205/E205)</f>
        <v/>
      </c>
      <c r="J205" s="22">
        <f>IF(E205=0,"",G205/E205)</f>
        <v/>
      </c>
      <c r="K205" s="22">
        <f>IF(G205=0,"",G205-H205)</f>
        <v/>
      </c>
      <c r="L205" s="49">
        <f>IF(G205=0,"",(G205-H205)/G205)</f>
        <v/>
      </c>
      <c r="M205" s="50">
        <f>IF(E205=0,"",IF(I205&gt;='GIẢ ĐỊNH'!$C$8,"ĐẠT","CHƯA"))</f>
        <v/>
      </c>
    </row>
    <row r="206">
      <c r="A206" s="19" t="inlineStr">
        <is>
          <t>T10/2028</t>
        </is>
      </c>
      <c r="B206" s="19" t="inlineStr">
        <is>
          <t>Vườn Lài</t>
        </is>
      </c>
      <c r="C206" s="19" t="inlineStr">
        <is>
          <t>Tân Phú</t>
        </is>
      </c>
      <c r="D206" s="47" t="n"/>
      <c r="E206" s="20" t="n"/>
      <c r="F206" s="20" t="n"/>
      <c r="G206" s="48" t="n"/>
      <c r="H206" s="48" t="n"/>
      <c r="I206" s="49">
        <f>IF(E206=0,"",F206/E206)</f>
        <v/>
      </c>
      <c r="J206" s="22">
        <f>IF(E206=0,"",G206/E206)</f>
        <v/>
      </c>
      <c r="K206" s="22">
        <f>IF(G206=0,"",G206-H206)</f>
        <v/>
      </c>
      <c r="L206" s="49">
        <f>IF(G206=0,"",(G206-H206)/G206)</f>
        <v/>
      </c>
      <c r="M206" s="50">
        <f>IF(E206=0,"",IF(I206&gt;='GIẢ ĐỊNH'!$C$8,"ĐẠT","CHƯA"))</f>
        <v/>
      </c>
    </row>
    <row r="207">
      <c r="A207" s="19" t="inlineStr">
        <is>
          <t>T10/2028</t>
        </is>
      </c>
      <c r="B207" s="19" t="inlineStr">
        <is>
          <t>Tứ Hải</t>
        </is>
      </c>
      <c r="C207" s="19" t="inlineStr">
        <is>
          <t>Trung tâm</t>
        </is>
      </c>
      <c r="D207" s="47" t="n"/>
      <c r="E207" s="20" t="n"/>
      <c r="F207" s="20" t="n"/>
      <c r="G207" s="48" t="n"/>
      <c r="H207" s="48" t="n"/>
      <c r="I207" s="49">
        <f>IF(E207=0,"",F207/E207)</f>
        <v/>
      </c>
      <c r="J207" s="22">
        <f>IF(E207=0,"",G207/E207)</f>
        <v/>
      </c>
      <c r="K207" s="22">
        <f>IF(G207=0,"",G207-H207)</f>
        <v/>
      </c>
      <c r="L207" s="49">
        <f>IF(G207=0,"",(G207-H207)/G207)</f>
        <v/>
      </c>
      <c r="M207" s="50">
        <f>IF(E207=0,"",IF(I207&gt;='GIẢ ĐỊNH'!$C$8,"ĐẠT","CHƯA"))</f>
        <v/>
      </c>
    </row>
    <row r="208">
      <c r="A208" s="19" t="inlineStr">
        <is>
          <t>T10/2028</t>
        </is>
      </c>
      <c r="B208" s="19" t="inlineStr">
        <is>
          <t>Phó Cơ Điều</t>
        </is>
      </c>
      <c r="C208" s="19" t="inlineStr">
        <is>
          <t>Trung tâm</t>
        </is>
      </c>
      <c r="D208" s="47" t="n"/>
      <c r="E208" s="20" t="n"/>
      <c r="F208" s="20" t="n"/>
      <c r="G208" s="48" t="n"/>
      <c r="H208" s="48" t="n"/>
      <c r="I208" s="49">
        <f>IF(E208=0,"",F208/E208)</f>
        <v/>
      </c>
      <c r="J208" s="22">
        <f>IF(E208=0,"",G208/E208)</f>
        <v/>
      </c>
      <c r="K208" s="22">
        <f>IF(G208=0,"",G208-H208)</f>
        <v/>
      </c>
      <c r="L208" s="49">
        <f>IF(G208=0,"",(G208-H208)/G208)</f>
        <v/>
      </c>
      <c r="M208" s="50">
        <f>IF(E208=0,"",IF(I208&gt;='GIẢ ĐỊNH'!$C$8,"ĐẠT","CHƯA"))</f>
        <v/>
      </c>
    </row>
    <row r="209">
      <c r="A209" s="19" t="inlineStr">
        <is>
          <t>T10/2028</t>
        </is>
      </c>
      <c r="B209" s="19" t="inlineStr">
        <is>
          <t>Khuông Việt</t>
        </is>
      </c>
      <c r="C209" s="19" t="inlineStr">
        <is>
          <t>Tân Phú</t>
        </is>
      </c>
      <c r="D209" s="47" t="n"/>
      <c r="E209" s="20" t="n"/>
      <c r="F209" s="20" t="n"/>
      <c r="G209" s="48" t="n"/>
      <c r="H209" s="48" t="n"/>
      <c r="I209" s="49">
        <f>IF(E209=0,"",F209/E209)</f>
        <v/>
      </c>
      <c r="J209" s="22">
        <f>IF(E209=0,"",G209/E209)</f>
        <v/>
      </c>
      <c r="K209" s="22">
        <f>IF(G209=0,"",G209-H209)</f>
        <v/>
      </c>
      <c r="L209" s="49">
        <f>IF(G209=0,"",(G209-H209)/G209)</f>
        <v/>
      </c>
      <c r="M209" s="50">
        <f>IF(E209=0,"",IF(I209&gt;='GIẢ ĐỊNH'!$C$8,"ĐẠT","CHƯA"))</f>
        <v/>
      </c>
    </row>
    <row r="210">
      <c r="A210" s="19" t="inlineStr">
        <is>
          <t>T10/2028</t>
        </is>
      </c>
      <c r="B210" s="19" t="inlineStr">
        <is>
          <t>Gò Dầu</t>
        </is>
      </c>
      <c r="C210" s="19" t="inlineStr">
        <is>
          <t>Tân Phú</t>
        </is>
      </c>
      <c r="D210" s="47" t="n"/>
      <c r="E210" s="20" t="n"/>
      <c r="F210" s="20" t="n"/>
      <c r="G210" s="48" t="n"/>
      <c r="H210" s="48" t="n"/>
      <c r="I210" s="49">
        <f>IF(E210=0,"",F210/E210)</f>
        <v/>
      </c>
      <c r="J210" s="22">
        <f>IF(E210=0,"",G210/E210)</f>
        <v/>
      </c>
      <c r="K210" s="22">
        <f>IF(G210=0,"",G210-H210)</f>
        <v/>
      </c>
      <c r="L210" s="49">
        <f>IF(G210=0,"",(G210-H210)/G210)</f>
        <v/>
      </c>
      <c r="M210" s="50">
        <f>IF(E210=0,"",IF(I210&gt;='GIẢ ĐỊNH'!$C$8,"ĐẠT","CHƯA"))</f>
        <v/>
      </c>
    </row>
    <row r="211">
      <c r="A211" s="19" t="inlineStr">
        <is>
          <t>T10/2028</t>
        </is>
      </c>
      <c r="B211" s="19" t="inlineStr">
        <is>
          <t>Lê Thị Nho</t>
        </is>
      </c>
      <c r="C211" s="19" t="inlineStr">
        <is>
          <t>Lê Thị Nho</t>
        </is>
      </c>
      <c r="D211" s="47" t="n"/>
      <c r="E211" s="20" t="n"/>
      <c r="F211" s="20" t="n"/>
      <c r="G211" s="48" t="n"/>
      <c r="H211" s="48" t="n"/>
      <c r="I211" s="49">
        <f>IF(E211=0,"",F211/E211)</f>
        <v/>
      </c>
      <c r="J211" s="22">
        <f>IF(E211=0,"",G211/E211)</f>
        <v/>
      </c>
      <c r="K211" s="22">
        <f>IF(G211=0,"",G211-H211)</f>
        <v/>
      </c>
      <c r="L211" s="49">
        <f>IF(G211=0,"",(G211-H211)/G211)</f>
        <v/>
      </c>
      <c r="M211" s="50">
        <f>IF(E211=0,"",IF(I211&gt;='GIẢ ĐỊNH'!$C$8,"ĐẠT","CHƯA"))</f>
        <v/>
      </c>
    </row>
    <row r="212">
      <c r="A212" s="19" t="inlineStr">
        <is>
          <t>T10/2028</t>
        </is>
      </c>
      <c r="B212" s="19" t="inlineStr">
        <is>
          <t>Đỗ Thừa Luông</t>
        </is>
      </c>
      <c r="C212" s="19" t="inlineStr">
        <is>
          <t>Tân Phú</t>
        </is>
      </c>
      <c r="D212" s="47" t="n"/>
      <c r="E212" s="20" t="n"/>
      <c r="F212" s="20" t="n"/>
      <c r="G212" s="48" t="n"/>
      <c r="H212" s="48" t="n"/>
      <c r="I212" s="49">
        <f>IF(E212=0,"",F212/E212)</f>
        <v/>
      </c>
      <c r="J212" s="22">
        <f>IF(E212=0,"",G212/E212)</f>
        <v/>
      </c>
      <c r="K212" s="22">
        <f>IF(G212=0,"",G212-H212)</f>
        <v/>
      </c>
      <c r="L212" s="49">
        <f>IF(G212=0,"",(G212-H212)/G212)</f>
        <v/>
      </c>
      <c r="M212" s="50">
        <f>IF(E212=0,"",IF(I212&gt;='GIẢ ĐỊNH'!$C$8,"ĐẠT","CHƯA"))</f>
        <v/>
      </c>
    </row>
  </sheetData>
  <autoFilter ref="A4:M2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17" customWidth="1" min="4" max="4"/>
    <col width="13" customWidth="1" min="5" max="5"/>
    <col width="8" customWidth="1" min="6" max="6"/>
    <col width="15" customWidth="1" min="7" max="7"/>
    <col width="30" customWidth="1" min="8" max="8"/>
    <col width="34" customWidth="1" min="9" max="9"/>
    <col width="16" customWidth="1" min="10" max="10"/>
    <col width="14" customWidth="1" min="11" max="11"/>
    <col width="12" customWidth="1" min="12" max="12"/>
  </cols>
  <sheetData>
    <row r="1" ht="22" customHeight="1">
      <c r="A1" s="1" t="inlineStr">
        <is>
          <t>DANH SÁCH PHÒNG TRỐNG — PHÂN NHÓM A / B / C / D</t>
        </is>
      </c>
    </row>
    <row r="2">
      <c r="A2" s="2" t="inlineStr">
        <is>
          <t>Hạn phân loại: 17/09/2026. Mỗi phòng chọn ĐÚNG MỘT nhóm. Cột Bậc thang giá tự tính theo số ngày trống — không cần họp bàn.</t>
        </is>
      </c>
    </row>
    <row r="4" ht="34" customHeight="1">
      <c r="A4" s="39" t="inlineStr">
        <is>
          <t>STT</t>
        </is>
      </c>
      <c r="B4" s="39" t="inlineStr">
        <is>
          <t>Toà nhà</t>
        </is>
      </c>
      <c r="C4" s="39" t="inlineStr">
        <is>
          <t>Số phòng</t>
        </is>
      </c>
      <c r="D4" s="39" t="inlineStr">
        <is>
          <t>Ngày bắt đầu trống</t>
        </is>
      </c>
      <c r="E4" s="39" t="inlineStr">
        <is>
          <t>Số ngày trống</t>
        </is>
      </c>
      <c r="F4" s="39" t="inlineStr">
        <is>
          <t>Nhóm</t>
        </is>
      </c>
      <c r="G4" s="39" t="inlineStr">
        <is>
          <t>Giá niêm yết (đ)</t>
        </is>
      </c>
      <c r="H4" s="39" t="inlineStr">
        <is>
          <t>Bậc thang phải áp</t>
        </is>
      </c>
      <c r="I4" s="39" t="inlineStr">
        <is>
          <t>Hành động cụ thể</t>
        </is>
      </c>
      <c r="J4" s="39" t="inlineStr">
        <is>
          <t>Người phụ trách</t>
        </is>
      </c>
      <c r="K4" s="39" t="inlineStr">
        <is>
          <t>Ngày lấp được</t>
        </is>
      </c>
      <c r="L4" s="39" t="inlineStr">
        <is>
          <t>Trạng thái</t>
        </is>
      </c>
    </row>
    <row r="5">
      <c r="A5" s="19" t="n">
        <v>1</v>
      </c>
      <c r="B5" s="47" t="inlineStr">
        <is>
          <t>Vườn Lài</t>
        </is>
      </c>
      <c r="C5" s="47" t="inlineStr">
        <is>
          <t>305</t>
        </is>
      </c>
      <c r="D5" s="51" t="inlineStr">
        <is>
          <t>2026-07-15</t>
        </is>
      </c>
      <c r="E5" s="52">
        <f>IF(D5="","",IF(K5&lt;&gt;"",K5-D5,TODAY()-D5))</f>
        <v/>
      </c>
      <c r="F5" s="53" t="inlineStr">
        <is>
          <t>C</t>
        </is>
      </c>
      <c r="G5" s="48" t="n">
        <v>5500000</v>
      </c>
      <c r="H5" s="19">
        <f>IF(D5="","",IF(E5&lt;=15,"Giữ giá — đẩy kênh",IF(E5&lt;=30,"Giữ giá — tặng thêm giá trị",IF(E5&lt;=45,"Giảm 5–8% — Quản lý cụm duyệt",IF(E5&lt;=60,"Giảm tới 12% hoặc đổi mô hình — QL cụm","DỪNG BÁN — đưa vào cải tạo bắt buộc")))))</f>
        <v/>
      </c>
      <c r="I5" s="47" t="inlineStr">
        <is>
          <t>Tặng 1 tuần ở đầu tiên, giữ giá niêm yết</t>
        </is>
      </c>
      <c r="J5" s="47" t="inlineStr">
        <is>
          <t>(ví dụ)</t>
        </is>
      </c>
      <c r="K5" s="51" t="n"/>
      <c r="L5" s="50">
        <f>IF(K5&lt;&gt;"","Đã lấp",IF(D5="","","Đang trống"))</f>
        <v/>
      </c>
    </row>
    <row r="6">
      <c r="A6" s="19" t="n">
        <v>2</v>
      </c>
      <c r="B6" s="47" t="n"/>
      <c r="C6" s="47" t="n"/>
      <c r="D6" s="51" t="n"/>
      <c r="E6" s="52">
        <f>IF(D6="","",IF(K6&lt;&gt;"",K6-D6,TODAY()-D6))</f>
        <v/>
      </c>
      <c r="F6" s="53" t="n"/>
      <c r="G6" s="48" t="n"/>
      <c r="H6" s="19">
        <f>IF(D6="","",IF(E6&lt;=15,"Giữ giá — đẩy kênh",IF(E6&lt;=30,"Giữ giá — tặng thêm giá trị",IF(E6&lt;=45,"Giảm 5–8% — Quản lý cụm duyệt",IF(E6&lt;=60,"Giảm tới 12% hoặc đổi mô hình — QL cụm","DỪNG BÁN — đưa vào cải tạo bắt buộc")))))</f>
        <v/>
      </c>
      <c r="I6" s="47" t="n"/>
      <c r="J6" s="47" t="n"/>
      <c r="K6" s="51" t="n"/>
      <c r="L6" s="50">
        <f>IF(K6&lt;&gt;"","Đã lấp",IF(D6="","","Đang trống"))</f>
        <v/>
      </c>
    </row>
    <row r="7">
      <c r="A7" s="19" t="n">
        <v>3</v>
      </c>
      <c r="B7" s="47" t="n"/>
      <c r="C7" s="47" t="n"/>
      <c r="D7" s="51" t="n"/>
      <c r="E7" s="52">
        <f>IF(D7="","",IF(K7&lt;&gt;"",K7-D7,TODAY()-D7))</f>
        <v/>
      </c>
      <c r="F7" s="53" t="n"/>
      <c r="G7" s="48" t="n"/>
      <c r="H7" s="19">
        <f>IF(D7="","",IF(E7&lt;=15,"Giữ giá — đẩy kênh",IF(E7&lt;=30,"Giữ giá — tặng thêm giá trị",IF(E7&lt;=45,"Giảm 5–8% — Quản lý cụm duyệt",IF(E7&lt;=60,"Giảm tới 12% hoặc đổi mô hình — QL cụm","DỪNG BÁN — đưa vào cải tạo bắt buộc")))))</f>
        <v/>
      </c>
      <c r="I7" s="47" t="n"/>
      <c r="J7" s="47" t="n"/>
      <c r="K7" s="51" t="n"/>
      <c r="L7" s="50">
        <f>IF(K7&lt;&gt;"","Đã lấp",IF(D7="","","Đang trống"))</f>
        <v/>
      </c>
    </row>
    <row r="8">
      <c r="A8" s="19" t="n">
        <v>4</v>
      </c>
      <c r="B8" s="47" t="n"/>
      <c r="C8" s="47" t="n"/>
      <c r="D8" s="51" t="n"/>
      <c r="E8" s="52">
        <f>IF(D8="","",IF(K8&lt;&gt;"",K8-D8,TODAY()-D8))</f>
        <v/>
      </c>
      <c r="F8" s="53" t="n"/>
      <c r="G8" s="48" t="n"/>
      <c r="H8" s="19">
        <f>IF(D8="","",IF(E8&lt;=15,"Giữ giá — đẩy kênh",IF(E8&lt;=30,"Giữ giá — tặng thêm giá trị",IF(E8&lt;=45,"Giảm 5–8% — Quản lý cụm duyệt",IF(E8&lt;=60,"Giảm tới 12% hoặc đổi mô hình — QL cụm","DỪNG BÁN — đưa vào cải tạo bắt buộc")))))</f>
        <v/>
      </c>
      <c r="I8" s="47" t="n"/>
      <c r="J8" s="47" t="n"/>
      <c r="K8" s="51" t="n"/>
      <c r="L8" s="50">
        <f>IF(K8&lt;&gt;"","Đã lấp",IF(D8="","","Đang trống"))</f>
        <v/>
      </c>
    </row>
    <row r="9">
      <c r="A9" s="19" t="n">
        <v>5</v>
      </c>
      <c r="B9" s="47" t="n"/>
      <c r="C9" s="47" t="n"/>
      <c r="D9" s="51" t="n"/>
      <c r="E9" s="52">
        <f>IF(D9="","",IF(K9&lt;&gt;"",K9-D9,TODAY()-D9))</f>
        <v/>
      </c>
      <c r="F9" s="53" t="n"/>
      <c r="G9" s="48" t="n"/>
      <c r="H9" s="19">
        <f>IF(D9="","",IF(E9&lt;=15,"Giữ giá — đẩy kênh",IF(E9&lt;=30,"Giữ giá — tặng thêm giá trị",IF(E9&lt;=45,"Giảm 5–8% — Quản lý cụm duyệt",IF(E9&lt;=60,"Giảm tới 12% hoặc đổi mô hình — QL cụm","DỪNG BÁN — đưa vào cải tạo bắt buộc")))))</f>
        <v/>
      </c>
      <c r="I9" s="47" t="n"/>
      <c r="J9" s="47" t="n"/>
      <c r="K9" s="51" t="n"/>
      <c r="L9" s="50">
        <f>IF(K9&lt;&gt;"","Đã lấp",IF(D9="","","Đang trống"))</f>
        <v/>
      </c>
    </row>
    <row r="10">
      <c r="A10" s="19" t="n">
        <v>6</v>
      </c>
      <c r="B10" s="47" t="n"/>
      <c r="C10" s="47" t="n"/>
      <c r="D10" s="51" t="n"/>
      <c r="E10" s="52">
        <f>IF(D10="","",IF(K10&lt;&gt;"",K10-D10,TODAY()-D10))</f>
        <v/>
      </c>
      <c r="F10" s="53" t="n"/>
      <c r="G10" s="48" t="n"/>
      <c r="H10" s="19">
        <f>IF(D10="","",IF(E10&lt;=15,"Giữ giá — đẩy kênh",IF(E10&lt;=30,"Giữ giá — tặng thêm giá trị",IF(E10&lt;=45,"Giảm 5–8% — Quản lý cụm duyệt",IF(E10&lt;=60,"Giảm tới 12% hoặc đổi mô hình — QL cụm","DỪNG BÁN — đưa vào cải tạo bắt buộc")))))</f>
        <v/>
      </c>
      <c r="I10" s="47" t="n"/>
      <c r="J10" s="47" t="n"/>
      <c r="K10" s="51" t="n"/>
      <c r="L10" s="50">
        <f>IF(K10&lt;&gt;"","Đã lấp",IF(D10="","","Đang trống"))</f>
        <v/>
      </c>
    </row>
    <row r="11">
      <c r="A11" s="19" t="n">
        <v>7</v>
      </c>
      <c r="B11" s="47" t="n"/>
      <c r="C11" s="47" t="n"/>
      <c r="D11" s="51" t="n"/>
      <c r="E11" s="52">
        <f>IF(D11="","",IF(K11&lt;&gt;"",K11-D11,TODAY()-D11))</f>
        <v/>
      </c>
      <c r="F11" s="53" t="n"/>
      <c r="G11" s="48" t="n"/>
      <c r="H11" s="19">
        <f>IF(D11="","",IF(E11&lt;=15,"Giữ giá — đẩy kênh",IF(E11&lt;=30,"Giữ giá — tặng thêm giá trị",IF(E11&lt;=45,"Giảm 5–8% — Quản lý cụm duyệt",IF(E11&lt;=60,"Giảm tới 12% hoặc đổi mô hình — QL cụm","DỪNG BÁN — đưa vào cải tạo bắt buộc")))))</f>
        <v/>
      </c>
      <c r="I11" s="47" t="n"/>
      <c r="J11" s="47" t="n"/>
      <c r="K11" s="51" t="n"/>
      <c r="L11" s="50">
        <f>IF(K11&lt;&gt;"","Đã lấp",IF(D11="","","Đang trống"))</f>
        <v/>
      </c>
    </row>
    <row r="12">
      <c r="A12" s="19" t="n">
        <v>8</v>
      </c>
      <c r="B12" s="47" t="n"/>
      <c r="C12" s="47" t="n"/>
      <c r="D12" s="51" t="n"/>
      <c r="E12" s="52">
        <f>IF(D12="","",IF(K12&lt;&gt;"",K12-D12,TODAY()-D12))</f>
        <v/>
      </c>
      <c r="F12" s="53" t="n"/>
      <c r="G12" s="48" t="n"/>
      <c r="H12" s="19">
        <f>IF(D12="","",IF(E12&lt;=15,"Giữ giá — đẩy kênh",IF(E12&lt;=30,"Giữ giá — tặng thêm giá trị",IF(E12&lt;=45,"Giảm 5–8% — Quản lý cụm duyệt",IF(E12&lt;=60,"Giảm tới 12% hoặc đổi mô hình — QL cụm","DỪNG BÁN — đưa vào cải tạo bắt buộc")))))</f>
        <v/>
      </c>
      <c r="I12" s="47" t="n"/>
      <c r="J12" s="47" t="n"/>
      <c r="K12" s="51" t="n"/>
      <c r="L12" s="50">
        <f>IF(K12&lt;&gt;"","Đã lấp",IF(D12="","","Đang trống"))</f>
        <v/>
      </c>
    </row>
    <row r="13">
      <c r="A13" s="19" t="n">
        <v>9</v>
      </c>
      <c r="B13" s="47" t="n"/>
      <c r="C13" s="47" t="n"/>
      <c r="D13" s="51" t="n"/>
      <c r="E13" s="52">
        <f>IF(D13="","",IF(K13&lt;&gt;"",K13-D13,TODAY()-D13))</f>
        <v/>
      </c>
      <c r="F13" s="53" t="n"/>
      <c r="G13" s="48" t="n"/>
      <c r="H13" s="19">
        <f>IF(D13="","",IF(E13&lt;=15,"Giữ giá — đẩy kênh",IF(E13&lt;=30,"Giữ giá — tặng thêm giá trị",IF(E13&lt;=45,"Giảm 5–8% — Quản lý cụm duyệt",IF(E13&lt;=60,"Giảm tới 12% hoặc đổi mô hình — QL cụm","DỪNG BÁN — đưa vào cải tạo bắt buộc")))))</f>
        <v/>
      </c>
      <c r="I13" s="47" t="n"/>
      <c r="J13" s="47" t="n"/>
      <c r="K13" s="51" t="n"/>
      <c r="L13" s="50">
        <f>IF(K13&lt;&gt;"","Đã lấp",IF(D13="","","Đang trống"))</f>
        <v/>
      </c>
    </row>
    <row r="14">
      <c r="A14" s="19" t="n">
        <v>10</v>
      </c>
      <c r="B14" s="47" t="n"/>
      <c r="C14" s="47" t="n"/>
      <c r="D14" s="51" t="n"/>
      <c r="E14" s="52">
        <f>IF(D14="","",IF(K14&lt;&gt;"",K14-D14,TODAY()-D14))</f>
        <v/>
      </c>
      <c r="F14" s="53" t="n"/>
      <c r="G14" s="48" t="n"/>
      <c r="H14" s="19">
        <f>IF(D14="","",IF(E14&lt;=15,"Giữ giá — đẩy kênh",IF(E14&lt;=30,"Giữ giá — tặng thêm giá trị",IF(E14&lt;=45,"Giảm 5–8% — Quản lý cụm duyệt",IF(E14&lt;=60,"Giảm tới 12% hoặc đổi mô hình — QL cụm","DỪNG BÁN — đưa vào cải tạo bắt buộc")))))</f>
        <v/>
      </c>
      <c r="I14" s="47" t="n"/>
      <c r="J14" s="47" t="n"/>
      <c r="K14" s="51" t="n"/>
      <c r="L14" s="50">
        <f>IF(K14&lt;&gt;"","Đã lấp",IF(D14="","","Đang trống"))</f>
        <v/>
      </c>
    </row>
    <row r="15">
      <c r="A15" s="19" t="n">
        <v>11</v>
      </c>
      <c r="B15" s="47" t="n"/>
      <c r="C15" s="47" t="n"/>
      <c r="D15" s="51" t="n"/>
      <c r="E15" s="52">
        <f>IF(D15="","",IF(K15&lt;&gt;"",K15-D15,TODAY()-D15))</f>
        <v/>
      </c>
      <c r="F15" s="53" t="n"/>
      <c r="G15" s="48" t="n"/>
      <c r="H15" s="19">
        <f>IF(D15="","",IF(E15&lt;=15,"Giữ giá — đẩy kênh",IF(E15&lt;=30,"Giữ giá — tặng thêm giá trị",IF(E15&lt;=45,"Giảm 5–8% — Quản lý cụm duyệt",IF(E15&lt;=60,"Giảm tới 12% hoặc đổi mô hình — QL cụm","DỪNG BÁN — đưa vào cải tạo bắt buộc")))))</f>
        <v/>
      </c>
      <c r="I15" s="47" t="n"/>
      <c r="J15" s="47" t="n"/>
      <c r="K15" s="51" t="n"/>
      <c r="L15" s="50">
        <f>IF(K15&lt;&gt;"","Đã lấp",IF(D15="","","Đang trống"))</f>
        <v/>
      </c>
    </row>
    <row r="16">
      <c r="A16" s="19" t="n">
        <v>12</v>
      </c>
      <c r="B16" s="47" t="n"/>
      <c r="C16" s="47" t="n"/>
      <c r="D16" s="51" t="n"/>
      <c r="E16" s="52">
        <f>IF(D16="","",IF(K16&lt;&gt;"",K16-D16,TODAY()-D16))</f>
        <v/>
      </c>
      <c r="F16" s="53" t="n"/>
      <c r="G16" s="48" t="n"/>
      <c r="H16" s="19">
        <f>IF(D16="","",IF(E16&lt;=15,"Giữ giá — đẩy kênh",IF(E16&lt;=30,"Giữ giá — tặng thêm giá trị",IF(E16&lt;=45,"Giảm 5–8% — Quản lý cụm duyệt",IF(E16&lt;=60,"Giảm tới 12% hoặc đổi mô hình — QL cụm","DỪNG BÁN — đưa vào cải tạo bắt buộc")))))</f>
        <v/>
      </c>
      <c r="I16" s="47" t="n"/>
      <c r="J16" s="47" t="n"/>
      <c r="K16" s="51" t="n"/>
      <c r="L16" s="50">
        <f>IF(K16&lt;&gt;"","Đã lấp",IF(D16="","","Đang trống"))</f>
        <v/>
      </c>
    </row>
    <row r="17">
      <c r="A17" s="19" t="n">
        <v>13</v>
      </c>
      <c r="B17" s="47" t="n"/>
      <c r="C17" s="47" t="n"/>
      <c r="D17" s="51" t="n"/>
      <c r="E17" s="52">
        <f>IF(D17="","",IF(K17&lt;&gt;"",K17-D17,TODAY()-D17))</f>
        <v/>
      </c>
      <c r="F17" s="53" t="n"/>
      <c r="G17" s="48" t="n"/>
      <c r="H17" s="19">
        <f>IF(D17="","",IF(E17&lt;=15,"Giữ giá — đẩy kênh",IF(E17&lt;=30,"Giữ giá — tặng thêm giá trị",IF(E17&lt;=45,"Giảm 5–8% — Quản lý cụm duyệt",IF(E17&lt;=60,"Giảm tới 12% hoặc đổi mô hình — QL cụm","DỪNG BÁN — đưa vào cải tạo bắt buộc")))))</f>
        <v/>
      </c>
      <c r="I17" s="47" t="n"/>
      <c r="J17" s="47" t="n"/>
      <c r="K17" s="51" t="n"/>
      <c r="L17" s="50">
        <f>IF(K17&lt;&gt;"","Đã lấp",IF(D17="","","Đang trống"))</f>
        <v/>
      </c>
    </row>
    <row r="18">
      <c r="A18" s="19" t="n">
        <v>14</v>
      </c>
      <c r="B18" s="47" t="n"/>
      <c r="C18" s="47" t="n"/>
      <c r="D18" s="51" t="n"/>
      <c r="E18" s="52">
        <f>IF(D18="","",IF(K18&lt;&gt;"",K18-D18,TODAY()-D18))</f>
        <v/>
      </c>
      <c r="F18" s="53" t="n"/>
      <c r="G18" s="48" t="n"/>
      <c r="H18" s="19">
        <f>IF(D18="","",IF(E18&lt;=15,"Giữ giá — đẩy kênh",IF(E18&lt;=30,"Giữ giá — tặng thêm giá trị",IF(E18&lt;=45,"Giảm 5–8% — Quản lý cụm duyệt",IF(E18&lt;=60,"Giảm tới 12% hoặc đổi mô hình — QL cụm","DỪNG BÁN — đưa vào cải tạo bắt buộc")))))</f>
        <v/>
      </c>
      <c r="I18" s="47" t="n"/>
      <c r="J18" s="47" t="n"/>
      <c r="K18" s="51" t="n"/>
      <c r="L18" s="50">
        <f>IF(K18&lt;&gt;"","Đã lấp",IF(D18="","","Đang trống"))</f>
        <v/>
      </c>
    </row>
    <row r="19">
      <c r="A19" s="19" t="n">
        <v>15</v>
      </c>
      <c r="B19" s="47" t="n"/>
      <c r="C19" s="47" t="n"/>
      <c r="D19" s="51" t="n"/>
      <c r="E19" s="52">
        <f>IF(D19="","",IF(K19&lt;&gt;"",K19-D19,TODAY()-D19))</f>
        <v/>
      </c>
      <c r="F19" s="53" t="n"/>
      <c r="G19" s="48" t="n"/>
      <c r="H19" s="19">
        <f>IF(D19="","",IF(E19&lt;=15,"Giữ giá — đẩy kênh",IF(E19&lt;=30,"Giữ giá — tặng thêm giá trị",IF(E19&lt;=45,"Giảm 5–8% — Quản lý cụm duyệt",IF(E19&lt;=60,"Giảm tới 12% hoặc đổi mô hình — QL cụm","DỪNG BÁN — đưa vào cải tạo bắt buộc")))))</f>
        <v/>
      </c>
      <c r="I19" s="47" t="n"/>
      <c r="J19" s="47" t="n"/>
      <c r="K19" s="51" t="n"/>
      <c r="L19" s="50">
        <f>IF(K19&lt;&gt;"","Đã lấp",IF(D19="","","Đang trống"))</f>
        <v/>
      </c>
    </row>
    <row r="20">
      <c r="A20" s="19" t="n">
        <v>16</v>
      </c>
      <c r="B20" s="47" t="n"/>
      <c r="C20" s="47" t="n"/>
      <c r="D20" s="51" t="n"/>
      <c r="E20" s="52">
        <f>IF(D20="","",IF(K20&lt;&gt;"",K20-D20,TODAY()-D20))</f>
        <v/>
      </c>
      <c r="F20" s="53" t="n"/>
      <c r="G20" s="48" t="n"/>
      <c r="H20" s="19">
        <f>IF(D20="","",IF(E20&lt;=15,"Giữ giá — đẩy kênh",IF(E20&lt;=30,"Giữ giá — tặng thêm giá trị",IF(E20&lt;=45,"Giảm 5–8% — Quản lý cụm duyệt",IF(E20&lt;=60,"Giảm tới 12% hoặc đổi mô hình — QL cụm","DỪNG BÁN — đưa vào cải tạo bắt buộc")))))</f>
        <v/>
      </c>
      <c r="I20" s="47" t="n"/>
      <c r="J20" s="47" t="n"/>
      <c r="K20" s="51" t="n"/>
      <c r="L20" s="50">
        <f>IF(K20&lt;&gt;"","Đã lấp",IF(D20="","","Đang trống"))</f>
        <v/>
      </c>
    </row>
    <row r="21">
      <c r="A21" s="19" t="n">
        <v>17</v>
      </c>
      <c r="B21" s="47" t="n"/>
      <c r="C21" s="47" t="n"/>
      <c r="D21" s="51" t="n"/>
      <c r="E21" s="52">
        <f>IF(D21="","",IF(K21&lt;&gt;"",K21-D21,TODAY()-D21))</f>
        <v/>
      </c>
      <c r="F21" s="53" t="n"/>
      <c r="G21" s="48" t="n"/>
      <c r="H21" s="19">
        <f>IF(D21="","",IF(E21&lt;=15,"Giữ giá — đẩy kênh",IF(E21&lt;=30,"Giữ giá — tặng thêm giá trị",IF(E21&lt;=45,"Giảm 5–8% — Quản lý cụm duyệt",IF(E21&lt;=60,"Giảm tới 12% hoặc đổi mô hình — QL cụm","DỪNG BÁN — đưa vào cải tạo bắt buộc")))))</f>
        <v/>
      </c>
      <c r="I21" s="47" t="n"/>
      <c r="J21" s="47" t="n"/>
      <c r="K21" s="51" t="n"/>
      <c r="L21" s="50">
        <f>IF(K21&lt;&gt;"","Đã lấp",IF(D21="","","Đang trống"))</f>
        <v/>
      </c>
    </row>
    <row r="22">
      <c r="A22" s="19" t="n">
        <v>18</v>
      </c>
      <c r="B22" s="47" t="n"/>
      <c r="C22" s="47" t="n"/>
      <c r="D22" s="51" t="n"/>
      <c r="E22" s="52">
        <f>IF(D22="","",IF(K22&lt;&gt;"",K22-D22,TODAY()-D22))</f>
        <v/>
      </c>
      <c r="F22" s="53" t="n"/>
      <c r="G22" s="48" t="n"/>
      <c r="H22" s="19">
        <f>IF(D22="","",IF(E22&lt;=15,"Giữ giá — đẩy kênh",IF(E22&lt;=30,"Giữ giá — tặng thêm giá trị",IF(E22&lt;=45,"Giảm 5–8% — Quản lý cụm duyệt",IF(E22&lt;=60,"Giảm tới 12% hoặc đổi mô hình — QL cụm","DỪNG BÁN — đưa vào cải tạo bắt buộc")))))</f>
        <v/>
      </c>
      <c r="I22" s="47" t="n"/>
      <c r="J22" s="47" t="n"/>
      <c r="K22" s="51" t="n"/>
      <c r="L22" s="50">
        <f>IF(K22&lt;&gt;"","Đã lấp",IF(D22="","","Đang trống"))</f>
        <v/>
      </c>
    </row>
    <row r="23">
      <c r="A23" s="19" t="n">
        <v>19</v>
      </c>
      <c r="B23" s="47" t="n"/>
      <c r="C23" s="47" t="n"/>
      <c r="D23" s="51" t="n"/>
      <c r="E23" s="52">
        <f>IF(D23="","",IF(K23&lt;&gt;"",K23-D23,TODAY()-D23))</f>
        <v/>
      </c>
      <c r="F23" s="53" t="n"/>
      <c r="G23" s="48" t="n"/>
      <c r="H23" s="19">
        <f>IF(D23="","",IF(E23&lt;=15,"Giữ giá — đẩy kênh",IF(E23&lt;=30,"Giữ giá — tặng thêm giá trị",IF(E23&lt;=45,"Giảm 5–8% — Quản lý cụm duyệt",IF(E23&lt;=60,"Giảm tới 12% hoặc đổi mô hình — QL cụm","DỪNG BÁN — đưa vào cải tạo bắt buộc")))))</f>
        <v/>
      </c>
      <c r="I23" s="47" t="n"/>
      <c r="J23" s="47" t="n"/>
      <c r="K23" s="51" t="n"/>
      <c r="L23" s="50">
        <f>IF(K23&lt;&gt;"","Đã lấp",IF(D23="","","Đang trống"))</f>
        <v/>
      </c>
    </row>
    <row r="24">
      <c r="A24" s="19" t="n">
        <v>20</v>
      </c>
      <c r="B24" s="47" t="n"/>
      <c r="C24" s="47" t="n"/>
      <c r="D24" s="51" t="n"/>
      <c r="E24" s="52">
        <f>IF(D24="","",IF(K24&lt;&gt;"",K24-D24,TODAY()-D24))</f>
        <v/>
      </c>
      <c r="F24" s="53" t="n"/>
      <c r="G24" s="48" t="n"/>
      <c r="H24" s="19">
        <f>IF(D24="","",IF(E24&lt;=15,"Giữ giá — đẩy kênh",IF(E24&lt;=30,"Giữ giá — tặng thêm giá trị",IF(E24&lt;=45,"Giảm 5–8% — Quản lý cụm duyệt",IF(E24&lt;=60,"Giảm tới 12% hoặc đổi mô hình — QL cụm","DỪNG BÁN — đưa vào cải tạo bắt buộc")))))</f>
        <v/>
      </c>
      <c r="I24" s="47" t="n"/>
      <c r="J24" s="47" t="n"/>
      <c r="K24" s="51" t="n"/>
      <c r="L24" s="50">
        <f>IF(K24&lt;&gt;"","Đã lấp",IF(D24="","","Đang trống"))</f>
        <v/>
      </c>
    </row>
    <row r="25">
      <c r="A25" s="19" t="n">
        <v>21</v>
      </c>
      <c r="B25" s="47" t="n"/>
      <c r="C25" s="47" t="n"/>
      <c r="D25" s="51" t="n"/>
      <c r="E25" s="52">
        <f>IF(D25="","",IF(K25&lt;&gt;"",K25-D25,TODAY()-D25))</f>
        <v/>
      </c>
      <c r="F25" s="53" t="n"/>
      <c r="G25" s="48" t="n"/>
      <c r="H25" s="19">
        <f>IF(D25="","",IF(E25&lt;=15,"Giữ giá — đẩy kênh",IF(E25&lt;=30,"Giữ giá — tặng thêm giá trị",IF(E25&lt;=45,"Giảm 5–8% — Quản lý cụm duyệt",IF(E25&lt;=60,"Giảm tới 12% hoặc đổi mô hình — QL cụm","DỪNG BÁN — đưa vào cải tạo bắt buộc")))))</f>
        <v/>
      </c>
      <c r="I25" s="47" t="n"/>
      <c r="J25" s="47" t="n"/>
      <c r="K25" s="51" t="n"/>
      <c r="L25" s="50">
        <f>IF(K25&lt;&gt;"","Đã lấp",IF(D25="","","Đang trống"))</f>
        <v/>
      </c>
    </row>
    <row r="26">
      <c r="A26" s="19" t="n">
        <v>22</v>
      </c>
      <c r="B26" s="47" t="n"/>
      <c r="C26" s="47" t="n"/>
      <c r="D26" s="51" t="n"/>
      <c r="E26" s="52">
        <f>IF(D26="","",IF(K26&lt;&gt;"",K26-D26,TODAY()-D26))</f>
        <v/>
      </c>
      <c r="F26" s="53" t="n"/>
      <c r="G26" s="48" t="n"/>
      <c r="H26" s="19">
        <f>IF(D26="","",IF(E26&lt;=15,"Giữ giá — đẩy kênh",IF(E26&lt;=30,"Giữ giá — tặng thêm giá trị",IF(E26&lt;=45,"Giảm 5–8% — Quản lý cụm duyệt",IF(E26&lt;=60,"Giảm tới 12% hoặc đổi mô hình — QL cụm","DỪNG BÁN — đưa vào cải tạo bắt buộc")))))</f>
        <v/>
      </c>
      <c r="I26" s="47" t="n"/>
      <c r="J26" s="47" t="n"/>
      <c r="K26" s="51" t="n"/>
      <c r="L26" s="50">
        <f>IF(K26&lt;&gt;"","Đã lấp",IF(D26="","","Đang trống"))</f>
        <v/>
      </c>
    </row>
    <row r="27">
      <c r="A27" s="19" t="n">
        <v>23</v>
      </c>
      <c r="B27" s="47" t="n"/>
      <c r="C27" s="47" t="n"/>
      <c r="D27" s="51" t="n"/>
      <c r="E27" s="52">
        <f>IF(D27="","",IF(K27&lt;&gt;"",K27-D27,TODAY()-D27))</f>
        <v/>
      </c>
      <c r="F27" s="53" t="n"/>
      <c r="G27" s="48" t="n"/>
      <c r="H27" s="19">
        <f>IF(D27="","",IF(E27&lt;=15,"Giữ giá — đẩy kênh",IF(E27&lt;=30,"Giữ giá — tặng thêm giá trị",IF(E27&lt;=45,"Giảm 5–8% — Quản lý cụm duyệt",IF(E27&lt;=60,"Giảm tới 12% hoặc đổi mô hình — QL cụm","DỪNG BÁN — đưa vào cải tạo bắt buộc")))))</f>
        <v/>
      </c>
      <c r="I27" s="47" t="n"/>
      <c r="J27" s="47" t="n"/>
      <c r="K27" s="51" t="n"/>
      <c r="L27" s="50">
        <f>IF(K27&lt;&gt;"","Đã lấp",IF(D27="","","Đang trống"))</f>
        <v/>
      </c>
    </row>
    <row r="28">
      <c r="A28" s="19" t="n">
        <v>24</v>
      </c>
      <c r="B28" s="47" t="n"/>
      <c r="C28" s="47" t="n"/>
      <c r="D28" s="51" t="n"/>
      <c r="E28" s="52">
        <f>IF(D28="","",IF(K28&lt;&gt;"",K28-D28,TODAY()-D28))</f>
        <v/>
      </c>
      <c r="F28" s="53" t="n"/>
      <c r="G28" s="48" t="n"/>
      <c r="H28" s="19">
        <f>IF(D28="","",IF(E28&lt;=15,"Giữ giá — đẩy kênh",IF(E28&lt;=30,"Giữ giá — tặng thêm giá trị",IF(E28&lt;=45,"Giảm 5–8% — Quản lý cụm duyệt",IF(E28&lt;=60,"Giảm tới 12% hoặc đổi mô hình — QL cụm","DỪNG BÁN — đưa vào cải tạo bắt buộc")))))</f>
        <v/>
      </c>
      <c r="I28" s="47" t="n"/>
      <c r="J28" s="47" t="n"/>
      <c r="K28" s="51" t="n"/>
      <c r="L28" s="50">
        <f>IF(K28&lt;&gt;"","Đã lấp",IF(D28="","","Đang trống"))</f>
        <v/>
      </c>
    </row>
    <row r="29">
      <c r="A29" s="19" t="n">
        <v>25</v>
      </c>
      <c r="B29" s="47" t="n"/>
      <c r="C29" s="47" t="n"/>
      <c r="D29" s="51" t="n"/>
      <c r="E29" s="52">
        <f>IF(D29="","",IF(K29&lt;&gt;"",K29-D29,TODAY()-D29))</f>
        <v/>
      </c>
      <c r="F29" s="53" t="n"/>
      <c r="G29" s="48" t="n"/>
      <c r="H29" s="19">
        <f>IF(D29="","",IF(E29&lt;=15,"Giữ giá — đẩy kênh",IF(E29&lt;=30,"Giữ giá — tặng thêm giá trị",IF(E29&lt;=45,"Giảm 5–8% — Quản lý cụm duyệt",IF(E29&lt;=60,"Giảm tới 12% hoặc đổi mô hình — QL cụm","DỪNG BÁN — đưa vào cải tạo bắt buộc")))))</f>
        <v/>
      </c>
      <c r="I29" s="47" t="n"/>
      <c r="J29" s="47" t="n"/>
      <c r="K29" s="51" t="n"/>
      <c r="L29" s="50">
        <f>IF(K29&lt;&gt;"","Đã lấp",IF(D29="","","Đang trống"))</f>
        <v/>
      </c>
    </row>
    <row r="30">
      <c r="A30" s="19" t="n">
        <v>26</v>
      </c>
      <c r="B30" s="47" t="n"/>
      <c r="C30" s="47" t="n"/>
      <c r="D30" s="51" t="n"/>
      <c r="E30" s="52">
        <f>IF(D30="","",IF(K30&lt;&gt;"",K30-D30,TODAY()-D30))</f>
        <v/>
      </c>
      <c r="F30" s="53" t="n"/>
      <c r="G30" s="48" t="n"/>
      <c r="H30" s="19">
        <f>IF(D30="","",IF(E30&lt;=15,"Giữ giá — đẩy kênh",IF(E30&lt;=30,"Giữ giá — tặng thêm giá trị",IF(E30&lt;=45,"Giảm 5–8% — Quản lý cụm duyệt",IF(E30&lt;=60,"Giảm tới 12% hoặc đổi mô hình — QL cụm","DỪNG BÁN — đưa vào cải tạo bắt buộc")))))</f>
        <v/>
      </c>
      <c r="I30" s="47" t="n"/>
      <c r="J30" s="47" t="n"/>
      <c r="K30" s="51" t="n"/>
      <c r="L30" s="50">
        <f>IF(K30&lt;&gt;"","Đã lấp",IF(D30="","","Đang trống"))</f>
        <v/>
      </c>
    </row>
    <row r="31">
      <c r="A31" s="19" t="n">
        <v>27</v>
      </c>
      <c r="B31" s="47" t="n"/>
      <c r="C31" s="47" t="n"/>
      <c r="D31" s="51" t="n"/>
      <c r="E31" s="52">
        <f>IF(D31="","",IF(K31&lt;&gt;"",K31-D31,TODAY()-D31))</f>
        <v/>
      </c>
      <c r="F31" s="53" t="n"/>
      <c r="G31" s="48" t="n"/>
      <c r="H31" s="19">
        <f>IF(D31="","",IF(E31&lt;=15,"Giữ giá — đẩy kênh",IF(E31&lt;=30,"Giữ giá — tặng thêm giá trị",IF(E31&lt;=45,"Giảm 5–8% — Quản lý cụm duyệt",IF(E31&lt;=60,"Giảm tới 12% hoặc đổi mô hình — QL cụm","DỪNG BÁN — đưa vào cải tạo bắt buộc")))))</f>
        <v/>
      </c>
      <c r="I31" s="47" t="n"/>
      <c r="J31" s="47" t="n"/>
      <c r="K31" s="51" t="n"/>
      <c r="L31" s="50">
        <f>IF(K31&lt;&gt;"","Đã lấp",IF(D31="","","Đang trống"))</f>
        <v/>
      </c>
    </row>
    <row r="32">
      <c r="A32" s="19" t="n">
        <v>28</v>
      </c>
      <c r="B32" s="47" t="n"/>
      <c r="C32" s="47" t="n"/>
      <c r="D32" s="51" t="n"/>
      <c r="E32" s="52">
        <f>IF(D32="","",IF(K32&lt;&gt;"",K32-D32,TODAY()-D32))</f>
        <v/>
      </c>
      <c r="F32" s="53" t="n"/>
      <c r="G32" s="48" t="n"/>
      <c r="H32" s="19">
        <f>IF(D32="","",IF(E32&lt;=15,"Giữ giá — đẩy kênh",IF(E32&lt;=30,"Giữ giá — tặng thêm giá trị",IF(E32&lt;=45,"Giảm 5–8% — Quản lý cụm duyệt",IF(E32&lt;=60,"Giảm tới 12% hoặc đổi mô hình — QL cụm","DỪNG BÁN — đưa vào cải tạo bắt buộc")))))</f>
        <v/>
      </c>
      <c r="I32" s="47" t="n"/>
      <c r="J32" s="47" t="n"/>
      <c r="K32" s="51" t="n"/>
      <c r="L32" s="50">
        <f>IF(K32&lt;&gt;"","Đã lấp",IF(D32="","","Đang trống"))</f>
        <v/>
      </c>
    </row>
    <row r="33">
      <c r="A33" s="19" t="n">
        <v>29</v>
      </c>
      <c r="B33" s="47" t="n"/>
      <c r="C33" s="47" t="n"/>
      <c r="D33" s="51" t="n"/>
      <c r="E33" s="52">
        <f>IF(D33="","",IF(K33&lt;&gt;"",K33-D33,TODAY()-D33))</f>
        <v/>
      </c>
      <c r="F33" s="53" t="n"/>
      <c r="G33" s="48" t="n"/>
      <c r="H33" s="19">
        <f>IF(D33="","",IF(E33&lt;=15,"Giữ giá — đẩy kênh",IF(E33&lt;=30,"Giữ giá — tặng thêm giá trị",IF(E33&lt;=45,"Giảm 5–8% — Quản lý cụm duyệt",IF(E33&lt;=60,"Giảm tới 12% hoặc đổi mô hình — QL cụm","DỪNG BÁN — đưa vào cải tạo bắt buộc")))))</f>
        <v/>
      </c>
      <c r="I33" s="47" t="n"/>
      <c r="J33" s="47" t="n"/>
      <c r="K33" s="51" t="n"/>
      <c r="L33" s="50">
        <f>IF(K33&lt;&gt;"","Đã lấp",IF(D33="","","Đang trống"))</f>
        <v/>
      </c>
    </row>
    <row r="34">
      <c r="A34" s="19" t="n">
        <v>30</v>
      </c>
      <c r="B34" s="47" t="n"/>
      <c r="C34" s="47" t="n"/>
      <c r="D34" s="51" t="n"/>
      <c r="E34" s="52">
        <f>IF(D34="","",IF(K34&lt;&gt;"",K34-D34,TODAY()-D34))</f>
        <v/>
      </c>
      <c r="F34" s="53" t="n"/>
      <c r="G34" s="48" t="n"/>
      <c r="H34" s="19">
        <f>IF(D34="","",IF(E34&lt;=15,"Giữ giá — đẩy kênh",IF(E34&lt;=30,"Giữ giá — tặng thêm giá trị",IF(E34&lt;=45,"Giảm 5–8% — Quản lý cụm duyệt",IF(E34&lt;=60,"Giảm tới 12% hoặc đổi mô hình — QL cụm","DỪNG BÁN — đưa vào cải tạo bắt buộc")))))</f>
        <v/>
      </c>
      <c r="I34" s="47" t="n"/>
      <c r="J34" s="47" t="n"/>
      <c r="K34" s="51" t="n"/>
      <c r="L34" s="50">
        <f>IF(K34&lt;&gt;"","Đã lấp",IF(D34="","","Đang trống"))</f>
        <v/>
      </c>
    </row>
    <row r="35">
      <c r="A35" s="19" t="n">
        <v>31</v>
      </c>
      <c r="B35" s="47" t="n"/>
      <c r="C35" s="47" t="n"/>
      <c r="D35" s="51" t="n"/>
      <c r="E35" s="52">
        <f>IF(D35="","",IF(K35&lt;&gt;"",K35-D35,TODAY()-D35))</f>
        <v/>
      </c>
      <c r="F35" s="53" t="n"/>
      <c r="G35" s="48" t="n"/>
      <c r="H35" s="19">
        <f>IF(D35="","",IF(E35&lt;=15,"Giữ giá — đẩy kênh",IF(E35&lt;=30,"Giữ giá — tặng thêm giá trị",IF(E35&lt;=45,"Giảm 5–8% — Quản lý cụm duyệt",IF(E35&lt;=60,"Giảm tới 12% hoặc đổi mô hình — QL cụm","DỪNG BÁN — đưa vào cải tạo bắt buộc")))))</f>
        <v/>
      </c>
      <c r="I35" s="47" t="n"/>
      <c r="J35" s="47" t="n"/>
      <c r="K35" s="51" t="n"/>
      <c r="L35" s="50">
        <f>IF(K35&lt;&gt;"","Đã lấp",IF(D35="","","Đang trống"))</f>
        <v/>
      </c>
    </row>
    <row r="36">
      <c r="A36" s="19" t="n">
        <v>32</v>
      </c>
      <c r="B36" s="47" t="n"/>
      <c r="C36" s="47" t="n"/>
      <c r="D36" s="51" t="n"/>
      <c r="E36" s="52">
        <f>IF(D36="","",IF(K36&lt;&gt;"",K36-D36,TODAY()-D36))</f>
        <v/>
      </c>
      <c r="F36" s="53" t="n"/>
      <c r="G36" s="48" t="n"/>
      <c r="H36" s="19">
        <f>IF(D36="","",IF(E36&lt;=15,"Giữ giá — đẩy kênh",IF(E36&lt;=30,"Giữ giá — tặng thêm giá trị",IF(E36&lt;=45,"Giảm 5–8% — Quản lý cụm duyệt",IF(E36&lt;=60,"Giảm tới 12% hoặc đổi mô hình — QL cụm","DỪNG BÁN — đưa vào cải tạo bắt buộc")))))</f>
        <v/>
      </c>
      <c r="I36" s="47" t="n"/>
      <c r="J36" s="47" t="n"/>
      <c r="K36" s="51" t="n"/>
      <c r="L36" s="50">
        <f>IF(K36&lt;&gt;"","Đã lấp",IF(D36="","","Đang trống"))</f>
        <v/>
      </c>
    </row>
    <row r="37">
      <c r="A37" s="19" t="n">
        <v>33</v>
      </c>
      <c r="B37" s="47" t="n"/>
      <c r="C37" s="47" t="n"/>
      <c r="D37" s="51" t="n"/>
      <c r="E37" s="52">
        <f>IF(D37="","",IF(K37&lt;&gt;"",K37-D37,TODAY()-D37))</f>
        <v/>
      </c>
      <c r="F37" s="53" t="n"/>
      <c r="G37" s="48" t="n"/>
      <c r="H37" s="19">
        <f>IF(D37="","",IF(E37&lt;=15,"Giữ giá — đẩy kênh",IF(E37&lt;=30,"Giữ giá — tặng thêm giá trị",IF(E37&lt;=45,"Giảm 5–8% — Quản lý cụm duyệt",IF(E37&lt;=60,"Giảm tới 12% hoặc đổi mô hình — QL cụm","DỪNG BÁN — đưa vào cải tạo bắt buộc")))))</f>
        <v/>
      </c>
      <c r="I37" s="47" t="n"/>
      <c r="J37" s="47" t="n"/>
      <c r="K37" s="51" t="n"/>
      <c r="L37" s="50">
        <f>IF(K37&lt;&gt;"","Đã lấp",IF(D37="","","Đang trống"))</f>
        <v/>
      </c>
    </row>
    <row r="38">
      <c r="A38" s="19" t="n">
        <v>34</v>
      </c>
      <c r="B38" s="47" t="n"/>
      <c r="C38" s="47" t="n"/>
      <c r="D38" s="51" t="n"/>
      <c r="E38" s="52">
        <f>IF(D38="","",IF(K38&lt;&gt;"",K38-D38,TODAY()-D38))</f>
        <v/>
      </c>
      <c r="F38" s="53" t="n"/>
      <c r="G38" s="48" t="n"/>
      <c r="H38" s="19">
        <f>IF(D38="","",IF(E38&lt;=15,"Giữ giá — đẩy kênh",IF(E38&lt;=30,"Giữ giá — tặng thêm giá trị",IF(E38&lt;=45,"Giảm 5–8% — Quản lý cụm duyệt",IF(E38&lt;=60,"Giảm tới 12% hoặc đổi mô hình — QL cụm","DỪNG BÁN — đưa vào cải tạo bắt buộc")))))</f>
        <v/>
      </c>
      <c r="I38" s="47" t="n"/>
      <c r="J38" s="47" t="n"/>
      <c r="K38" s="51" t="n"/>
      <c r="L38" s="50">
        <f>IF(K38&lt;&gt;"","Đã lấp",IF(D38="","","Đang trống"))</f>
        <v/>
      </c>
    </row>
    <row r="39">
      <c r="A39" s="19" t="n">
        <v>35</v>
      </c>
      <c r="B39" s="47" t="n"/>
      <c r="C39" s="47" t="n"/>
      <c r="D39" s="51" t="n"/>
      <c r="E39" s="52">
        <f>IF(D39="","",IF(K39&lt;&gt;"",K39-D39,TODAY()-D39))</f>
        <v/>
      </c>
      <c r="F39" s="53" t="n"/>
      <c r="G39" s="48" t="n"/>
      <c r="H39" s="19">
        <f>IF(D39="","",IF(E39&lt;=15,"Giữ giá — đẩy kênh",IF(E39&lt;=30,"Giữ giá — tặng thêm giá trị",IF(E39&lt;=45,"Giảm 5–8% — Quản lý cụm duyệt",IF(E39&lt;=60,"Giảm tới 12% hoặc đổi mô hình — QL cụm","DỪNG BÁN — đưa vào cải tạo bắt buộc")))))</f>
        <v/>
      </c>
      <c r="I39" s="47" t="n"/>
      <c r="J39" s="47" t="n"/>
      <c r="K39" s="51" t="n"/>
      <c r="L39" s="50">
        <f>IF(K39&lt;&gt;"","Đã lấp",IF(D39="","","Đang trống"))</f>
        <v/>
      </c>
    </row>
    <row r="40">
      <c r="A40" s="19" t="n">
        <v>36</v>
      </c>
      <c r="B40" s="47" t="n"/>
      <c r="C40" s="47" t="n"/>
      <c r="D40" s="51" t="n"/>
      <c r="E40" s="52">
        <f>IF(D40="","",IF(K40&lt;&gt;"",K40-D40,TODAY()-D40))</f>
        <v/>
      </c>
      <c r="F40" s="53" t="n"/>
      <c r="G40" s="48" t="n"/>
      <c r="H40" s="19">
        <f>IF(D40="","",IF(E40&lt;=15,"Giữ giá — đẩy kênh",IF(E40&lt;=30,"Giữ giá — tặng thêm giá trị",IF(E40&lt;=45,"Giảm 5–8% — Quản lý cụm duyệt",IF(E40&lt;=60,"Giảm tới 12% hoặc đổi mô hình — QL cụm","DỪNG BÁN — đưa vào cải tạo bắt buộc")))))</f>
        <v/>
      </c>
      <c r="I40" s="47" t="n"/>
      <c r="J40" s="47" t="n"/>
      <c r="K40" s="51" t="n"/>
      <c r="L40" s="50">
        <f>IF(K40&lt;&gt;"","Đã lấp",IF(D40="","","Đang trống"))</f>
        <v/>
      </c>
    </row>
    <row r="41">
      <c r="A41" s="19" t="n">
        <v>37</v>
      </c>
      <c r="B41" s="47" t="n"/>
      <c r="C41" s="47" t="n"/>
      <c r="D41" s="51" t="n"/>
      <c r="E41" s="52">
        <f>IF(D41="","",IF(K41&lt;&gt;"",K41-D41,TODAY()-D41))</f>
        <v/>
      </c>
      <c r="F41" s="53" t="n"/>
      <c r="G41" s="48" t="n"/>
      <c r="H41" s="19">
        <f>IF(D41="","",IF(E41&lt;=15,"Giữ giá — đẩy kênh",IF(E41&lt;=30,"Giữ giá — tặng thêm giá trị",IF(E41&lt;=45,"Giảm 5–8% — Quản lý cụm duyệt",IF(E41&lt;=60,"Giảm tới 12% hoặc đổi mô hình — QL cụm","DỪNG BÁN — đưa vào cải tạo bắt buộc")))))</f>
        <v/>
      </c>
      <c r="I41" s="47" t="n"/>
      <c r="J41" s="47" t="n"/>
      <c r="K41" s="51" t="n"/>
      <c r="L41" s="50">
        <f>IF(K41&lt;&gt;"","Đã lấp",IF(D41="","","Đang trống"))</f>
        <v/>
      </c>
    </row>
    <row r="42">
      <c r="A42" s="19" t="n">
        <v>38</v>
      </c>
      <c r="B42" s="47" t="n"/>
      <c r="C42" s="47" t="n"/>
      <c r="D42" s="51" t="n"/>
      <c r="E42" s="52">
        <f>IF(D42="","",IF(K42&lt;&gt;"",K42-D42,TODAY()-D42))</f>
        <v/>
      </c>
      <c r="F42" s="53" t="n"/>
      <c r="G42" s="48" t="n"/>
      <c r="H42" s="19">
        <f>IF(D42="","",IF(E42&lt;=15,"Giữ giá — đẩy kênh",IF(E42&lt;=30,"Giữ giá — tặng thêm giá trị",IF(E42&lt;=45,"Giảm 5–8% — Quản lý cụm duyệt",IF(E42&lt;=60,"Giảm tới 12% hoặc đổi mô hình — QL cụm","DỪNG BÁN — đưa vào cải tạo bắt buộc")))))</f>
        <v/>
      </c>
      <c r="I42" s="47" t="n"/>
      <c r="J42" s="47" t="n"/>
      <c r="K42" s="51" t="n"/>
      <c r="L42" s="50">
        <f>IF(K42&lt;&gt;"","Đã lấp",IF(D42="","","Đang trống"))</f>
        <v/>
      </c>
    </row>
    <row r="43">
      <c r="A43" s="19" t="n">
        <v>39</v>
      </c>
      <c r="B43" s="47" t="n"/>
      <c r="C43" s="47" t="n"/>
      <c r="D43" s="51" t="n"/>
      <c r="E43" s="52">
        <f>IF(D43="","",IF(K43&lt;&gt;"",K43-D43,TODAY()-D43))</f>
        <v/>
      </c>
      <c r="F43" s="53" t="n"/>
      <c r="G43" s="48" t="n"/>
      <c r="H43" s="19">
        <f>IF(D43="","",IF(E43&lt;=15,"Giữ giá — đẩy kênh",IF(E43&lt;=30,"Giữ giá — tặng thêm giá trị",IF(E43&lt;=45,"Giảm 5–8% — Quản lý cụm duyệt",IF(E43&lt;=60,"Giảm tới 12% hoặc đổi mô hình — QL cụm","DỪNG BÁN — đưa vào cải tạo bắt buộc")))))</f>
        <v/>
      </c>
      <c r="I43" s="47" t="n"/>
      <c r="J43" s="47" t="n"/>
      <c r="K43" s="51" t="n"/>
      <c r="L43" s="50">
        <f>IF(K43&lt;&gt;"","Đã lấp",IF(D43="","","Đang trống"))</f>
        <v/>
      </c>
    </row>
    <row r="44">
      <c r="A44" s="19" t="n">
        <v>40</v>
      </c>
      <c r="B44" s="47" t="n"/>
      <c r="C44" s="47" t="n"/>
      <c r="D44" s="51" t="n"/>
      <c r="E44" s="52">
        <f>IF(D44="","",IF(K44&lt;&gt;"",K44-D44,TODAY()-D44))</f>
        <v/>
      </c>
      <c r="F44" s="53" t="n"/>
      <c r="G44" s="48" t="n"/>
      <c r="H44" s="19">
        <f>IF(D44="","",IF(E44&lt;=15,"Giữ giá — đẩy kênh",IF(E44&lt;=30,"Giữ giá — tặng thêm giá trị",IF(E44&lt;=45,"Giảm 5–8% — Quản lý cụm duyệt",IF(E44&lt;=60,"Giảm tới 12% hoặc đổi mô hình — QL cụm","DỪNG BÁN — đưa vào cải tạo bắt buộc")))))</f>
        <v/>
      </c>
      <c r="I44" s="47" t="n"/>
      <c r="J44" s="47" t="n"/>
      <c r="K44" s="51" t="n"/>
      <c r="L44" s="50">
        <f>IF(K44&lt;&gt;"","Đã lấp",IF(D44="","","Đang trống"))</f>
        <v/>
      </c>
    </row>
    <row r="46">
      <c r="B46" s="3" t="inlineStr">
        <is>
          <t>TỔNG HỢP THEO NHÓM</t>
        </is>
      </c>
    </row>
    <row r="47">
      <c r="A47" s="27" t="n"/>
      <c r="B47" s="12" t="inlineStr">
        <is>
          <t>Nhóm A — Mùa vụ</t>
        </is>
      </c>
      <c r="C47" s="27" t="n"/>
      <c r="D47" s="27" t="n"/>
      <c r="E47" s="52">
        <f>COUNTIF($F$5:$F$44,"A")</f>
        <v/>
      </c>
      <c r="F47" s="27" t="n"/>
      <c r="G47" s="27" t="n"/>
      <c r="H47" s="27" t="n"/>
      <c r="I47" s="14" t="inlineStr">
        <is>
          <t>Chuyển tạm sang khách ngắn ngày. KHÔNG giảm giá dài hạn.</t>
        </is>
      </c>
      <c r="J47" s="27" t="n"/>
      <c r="K47" s="27" t="n"/>
      <c r="L47" s="27" t="n"/>
    </row>
    <row r="48">
      <c r="A48" s="27" t="n"/>
      <c r="B48" s="12" t="inlineStr">
        <is>
          <t>Nhóm B — Sản phẩm kém</t>
        </is>
      </c>
      <c r="C48" s="27" t="n"/>
      <c r="D48" s="27" t="n"/>
      <c r="E48" s="52">
        <f>COUNTIF($F$5:$F$44,"B")</f>
        <v/>
      </c>
      <c r="F48" s="27" t="n"/>
      <c r="G48" s="27" t="n"/>
      <c r="H48" s="27" t="n"/>
      <c r="I48" s="14" t="inlineStr">
        <is>
          <t>Cải tạo có mục tiêu. Trong lúc chờ, NGỪNG dẫn khách đi xem.</t>
        </is>
      </c>
      <c r="J48" s="27" t="n"/>
      <c r="K48" s="27" t="n"/>
      <c r="L48" s="27" t="n"/>
    </row>
    <row r="49">
      <c r="A49" s="27" t="n"/>
      <c r="B49" s="12" t="inlineStr">
        <is>
          <t>Nhóm C — Giá sai</t>
        </is>
      </c>
      <c r="C49" s="27" t="n"/>
      <c r="D49" s="27" t="n"/>
      <c r="E49" s="52">
        <f>COUNTIF($F$5:$F$44,"C")</f>
        <v/>
      </c>
      <c r="F49" s="27" t="n"/>
      <c r="G49" s="27" t="n"/>
      <c r="H49" s="27" t="n"/>
      <c r="I49" s="14" t="inlineStr">
        <is>
          <t>Bậc thang giá. Ưu tiên tặng giá trị hơn cắt giá.</t>
        </is>
      </c>
      <c r="J49" s="27" t="n"/>
      <c r="K49" s="27" t="n"/>
      <c r="L49" s="27" t="n"/>
    </row>
    <row r="50">
      <c r="A50" s="27" t="n"/>
      <c r="B50" s="12" t="inlineStr">
        <is>
          <t>Nhóm D — Không ai biết</t>
        </is>
      </c>
      <c r="C50" s="27" t="n"/>
      <c r="D50" s="27" t="n"/>
      <c r="E50" s="52">
        <f>COUNTIF($F$5:$F$44,"D")</f>
        <v/>
      </c>
      <c r="F50" s="27" t="n"/>
      <c r="G50" s="27" t="n"/>
      <c r="H50" s="27" t="n"/>
      <c r="I50" s="14" t="inlineStr">
        <is>
          <t>Landing page riêng mỗi toà, mỗi trang một số điện thoại.</t>
        </is>
      </c>
      <c r="J50" s="27" t="n"/>
      <c r="K50" s="27" t="n"/>
      <c r="L50" s="27" t="n"/>
    </row>
    <row r="51">
      <c r="B51" s="3" t="inlineStr">
        <is>
          <t>Đã phân loại / 40</t>
        </is>
      </c>
      <c r="E51" s="54">
        <f>COUNTA($F$5:$F$44)</f>
        <v/>
      </c>
      <c r="I51" s="2" t="inlineStr">
        <is>
          <t>Chưa đủ 40 thì chưa bắt đầu chiến dịch.</t>
        </is>
      </c>
    </row>
    <row r="52">
      <c r="B52" s="3" t="inlineStr">
        <is>
          <t>Đã lấp được</t>
        </is>
      </c>
      <c r="E52" s="54">
        <f>COUNTIF($L$5:$L$44,"Đã lấp")</f>
        <v/>
      </c>
      <c r="I52" s="2" t="inlineStr">
        <is>
          <t>Mục tiêu: 15 phòng sau 30 ngày · 30 phòng sau 60 ngày.</t>
        </is>
      </c>
    </row>
    <row r="53">
      <c r="B53" s="3" t="inlineStr">
        <is>
          <t>Doanh thu khôi phục / tháng (đ)</t>
        </is>
      </c>
      <c r="E53" s="55">
        <f>COUNTIF($L$5:$L$44,"Đã lấp")*'GIẢ ĐỊNH'!$C$5</f>
        <v/>
      </c>
    </row>
  </sheetData>
  <dataValidations count="1">
    <dataValidation sqref="F5:F44" showDropDown="0" showInputMessage="0" showErrorMessage="0" allowBlank="1" promptTitle="Chọn nhóm" prompt="A = mùa vụ · B = sản phẩm kém · C = giá sai · D = không ai biết" type="list">
      <formula1>"A,B,C,D"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8" customWidth="1" min="4" max="4"/>
    <col width="18" customWidth="1" min="5" max="5"/>
    <col width="18" customWidth="1" min="6" max="6"/>
    <col width="12" customWidth="1" min="7" max="7"/>
    <col width="14" customWidth="1" min="8" max="8"/>
  </cols>
  <sheetData>
    <row r="1" ht="22" customHeight="1">
      <c r="A1" s="1" t="inlineStr">
        <is>
          <t>NGÂN SÁCH CHI PHÍ VẬN HÀNH</t>
        </is>
      </c>
    </row>
    <row r="2">
      <c r="A2" s="2" t="inlineStr">
        <is>
          <t>Trần chi phí theo % doanh thu. Tổng 45% → biên NOI 55%. Điền doanh thu và thực chi để so với trần.</t>
        </is>
      </c>
    </row>
    <row r="4" ht="34" customHeight="1">
      <c r="A4" s="39" t="inlineStr"/>
      <c r="B4" s="39" t="inlineStr">
        <is>
          <t>Khoản mục</t>
        </is>
      </c>
      <c r="C4" s="39" t="inlineStr">
        <is>
          <t>Trần (% DT)</t>
        </is>
      </c>
      <c r="D4" s="39" t="inlineStr">
        <is>
          <t>Ngân sách (đ)</t>
        </is>
      </c>
      <c r="E4" s="39" t="inlineStr">
        <is>
          <t>Thực chi (đ)</t>
        </is>
      </c>
      <c r="F4" s="39" t="inlineStr">
        <is>
          <t>Chênh lệch</t>
        </is>
      </c>
      <c r="G4" s="39" t="inlineStr">
        <is>
          <t>% thực tế</t>
        </is>
      </c>
      <c r="H4" s="39" t="inlineStr">
        <is>
          <t>Trạng thái</t>
        </is>
      </c>
    </row>
    <row r="5">
      <c r="B5" s="56" t="inlineStr">
        <is>
          <t>Doanh thu kỳ báo cáo</t>
        </is>
      </c>
      <c r="C5" s="27" t="n"/>
      <c r="D5" s="27" t="n"/>
      <c r="E5" s="57" t="n">
        <v>100000000</v>
      </c>
      <c r="F5" s="27" t="n"/>
      <c r="G5" s="27" t="n"/>
      <c r="H5" s="14" t="inlineStr">
        <is>
          <t>Nhập doanh thu thực tế của kỳ</t>
        </is>
      </c>
    </row>
    <row r="7">
      <c r="B7" s="19" t="inlineStr">
        <is>
          <t>Nhân sự toà — quản lý, lễ tân, bảo vệ</t>
        </is>
      </c>
      <c r="C7" s="58" t="n">
        <v>0.12</v>
      </c>
      <c r="D7" s="22">
        <f>$E$5*C7</f>
        <v/>
      </c>
      <c r="E7" s="48" t="n"/>
      <c r="F7" s="22">
        <f>IF(E7="","",D7-E7)</f>
        <v/>
      </c>
      <c r="G7" s="49">
        <f>IF(OR(E7="",$E$5=0),"",E7/$E$5)</f>
        <v/>
      </c>
      <c r="H7" s="50">
        <f>IF(E7="","",IF(E7&lt;=D7,"Trong trần","VƯỢT TRẦN"))</f>
        <v/>
      </c>
    </row>
    <row r="8">
      <c r="B8" s="19" t="inlineStr">
        <is>
          <t>Dọn phòng &amp; giặt là</t>
        </is>
      </c>
      <c r="C8" s="58" t="n">
        <v>0.09</v>
      </c>
      <c r="D8" s="22">
        <f>$E$5*C8</f>
        <v/>
      </c>
      <c r="E8" s="48" t="n"/>
      <c r="F8" s="22">
        <f>IF(E8="","",D8-E8)</f>
        <v/>
      </c>
      <c r="G8" s="49">
        <f>IF(OR(E8="",$E$5=0),"",E8/$E$5)</f>
        <v/>
      </c>
      <c r="H8" s="50">
        <f>IF(E8="","",IF(E8&lt;=D8,"Trong trần","VƯỢT TRẦN"))</f>
        <v/>
      </c>
    </row>
    <row r="9">
      <c r="B9" s="19" t="inlineStr">
        <is>
          <t>Điện nước khu vực chung</t>
        </is>
      </c>
      <c r="C9" s="58" t="n">
        <v>0.08</v>
      </c>
      <c r="D9" s="22">
        <f>$E$5*C9</f>
        <v/>
      </c>
      <c r="E9" s="48" t="n"/>
      <c r="F9" s="22">
        <f>IF(E9="","",D9-E9)</f>
        <v/>
      </c>
      <c r="G9" s="49">
        <f>IF(OR(E9="",$E$5=0),"",E9/$E$5)</f>
        <v/>
      </c>
      <c r="H9" s="50">
        <f>IF(E9="","",IF(E9&lt;=D9,"Trong trần","VƯỢT TRẦN"))</f>
        <v/>
      </c>
    </row>
    <row r="10">
      <c r="B10" s="19" t="inlineStr">
        <is>
          <t>Bảo trì &amp; sửa chữa nhỏ</t>
        </is>
      </c>
      <c r="C10" s="58" t="n">
        <v>0.06</v>
      </c>
      <c r="D10" s="22">
        <f>$E$5*C10</f>
        <v/>
      </c>
      <c r="E10" s="48" t="n"/>
      <c r="F10" s="22">
        <f>IF(E10="","",D10-E10)</f>
        <v/>
      </c>
      <c r="G10" s="49">
        <f>IF(OR(E10="",$E$5=0),"",E10/$E$5)</f>
        <v/>
      </c>
      <c r="H10" s="50">
        <f>IF(E10="","",IF(E10&lt;=D10,"Trong trần","VƯỢT TRẦN"))</f>
        <v/>
      </c>
    </row>
    <row r="11">
      <c r="B11" s="19" t="inlineStr">
        <is>
          <t>Marketing lấp phòng</t>
        </is>
      </c>
      <c r="C11" s="58" t="n">
        <v>0.04</v>
      </c>
      <c r="D11" s="22">
        <f>$E$5*C11</f>
        <v/>
      </c>
      <c r="E11" s="48" t="n"/>
      <c r="F11" s="22">
        <f>IF(E11="","",D11-E11)</f>
        <v/>
      </c>
      <c r="G11" s="49">
        <f>IF(OR(E11="",$E$5=0),"",E11/$E$5)</f>
        <v/>
      </c>
      <c r="H11" s="50">
        <f>IF(E11="","",IF(E11&lt;=D11,"Trong trần","VƯỢT TRẦN"))</f>
        <v/>
      </c>
    </row>
    <row r="12">
      <c r="B12" s="19" t="inlineStr">
        <is>
          <t>Vật tư tiêu hao</t>
        </is>
      </c>
      <c r="C12" s="58" t="n">
        <v>0.03</v>
      </c>
      <c r="D12" s="22">
        <f>$E$5*C12</f>
        <v/>
      </c>
      <c r="E12" s="48" t="n"/>
      <c r="F12" s="22">
        <f>IF(E12="","",D12-E12)</f>
        <v/>
      </c>
      <c r="G12" s="49">
        <f>IF(OR(E12="",$E$5=0),"",E12/$E$5)</f>
        <v/>
      </c>
      <c r="H12" s="50">
        <f>IF(E12="","",IF(E12&lt;=D12,"Trong trần","VƯỢT TRẦN"))</f>
        <v/>
      </c>
    </row>
    <row r="13">
      <c r="B13" s="19" t="inlineStr">
        <is>
          <t>Dự phòng</t>
        </is>
      </c>
      <c r="C13" s="58" t="n">
        <v>0.03</v>
      </c>
      <c r="D13" s="22">
        <f>$E$5*C13</f>
        <v/>
      </c>
      <c r="E13" s="48" t="n"/>
      <c r="F13" s="22">
        <f>IF(E13="","",D13-E13)</f>
        <v/>
      </c>
      <c r="G13" s="49">
        <f>IF(OR(E13="",$E$5=0),"",E13/$E$5)</f>
        <v/>
      </c>
      <c r="H13" s="50">
        <f>IF(E13="","",IF(E13&lt;=D13,"Trong trần","VƯỢT TRẦN"))</f>
        <v/>
      </c>
    </row>
    <row r="14">
      <c r="B14" s="43" t="inlineStr">
        <is>
          <t>TỔNG CHI PHÍ TRỰC TIẾP</t>
        </is>
      </c>
      <c r="C14" s="59">
        <f>SUM(C7:C13)</f>
        <v/>
      </c>
      <c r="D14" s="25">
        <f>SUM(D7:D13)</f>
        <v/>
      </c>
      <c r="E14" s="25">
        <f>SUM(E7:E13)</f>
        <v/>
      </c>
      <c r="F14" s="25">
        <f>SUM(F7:F13)</f>
        <v/>
      </c>
      <c r="G14" s="59">
        <f>IF($E$5=0,"",E14/$E$5)</f>
        <v/>
      </c>
      <c r="H14" s="24" t="n"/>
    </row>
    <row r="15">
      <c r="B15" s="56" t="inlineStr">
        <is>
          <t>NOI (doanh thu − chi phí)</t>
        </is>
      </c>
      <c r="C15" s="27" t="n"/>
      <c r="D15" s="60">
        <f>$E$5-D14</f>
        <v/>
      </c>
      <c r="E15" s="60">
        <f>IF(E14=0,"",$E$5-E14)</f>
        <v/>
      </c>
      <c r="F15" s="27" t="n"/>
      <c r="G15" s="61">
        <f>IF(OR(E14=0,$E$5=0),"",($E$5-E14)/$E$5)</f>
        <v/>
      </c>
      <c r="H15" s="14" t="inlineStr">
        <is>
          <t>So với giả định 55%</t>
        </is>
      </c>
    </row>
    <row r="17">
      <c r="B17" s="3" t="inlineStr">
        <is>
          <t>HẠN MỨC DUYỆT CHI</t>
        </is>
      </c>
    </row>
    <row r="18">
      <c r="B18" s="12" t="inlineStr">
        <is>
          <t>Trưởng toà</t>
        </is>
      </c>
      <c r="C18" s="27" t="n"/>
      <c r="D18" s="19" t="inlineStr">
        <is>
          <t>≤ 2 triệu/lần · ≤ 10 triệu/tháng</t>
        </is>
      </c>
      <c r="E18" s="27" t="n"/>
      <c r="F18" s="27" t="n"/>
      <c r="G18" s="27" t="n"/>
      <c r="H18" s="27" t="n"/>
    </row>
    <row r="19">
      <c r="B19" s="12" t="inlineStr">
        <is>
          <t>Quản lý cụm</t>
        </is>
      </c>
      <c r="C19" s="27" t="n"/>
      <c r="D19" s="19" t="inlineStr">
        <is>
          <t>≤ 20 triệu/lần</t>
        </is>
      </c>
      <c r="E19" s="27" t="n"/>
      <c r="F19" s="27" t="n"/>
      <c r="G19" s="27" t="n"/>
      <c r="H19" s="27" t="n"/>
    </row>
    <row r="20">
      <c r="B20" s="12" t="inlineStr">
        <is>
          <t>Giám đốc Vận hành</t>
        </is>
      </c>
      <c r="C20" s="27" t="n"/>
      <c r="D20" s="19" t="inlineStr">
        <is>
          <t>≤ 100 triệu/lần</t>
        </is>
      </c>
      <c r="E20" s="27" t="n"/>
      <c r="F20" s="27" t="n"/>
      <c r="G20" s="27" t="n"/>
      <c r="H20" s="27" t="n"/>
    </row>
    <row r="21">
      <c r="B21" s="12" t="inlineStr">
        <is>
          <t>Anh Toàn</t>
        </is>
      </c>
      <c r="C21" s="27" t="n"/>
      <c r="D21" s="19" t="inlineStr">
        <is>
          <t>Trên 100 triệu</t>
        </is>
      </c>
      <c r="E21" s="27" t="n"/>
      <c r="F21" s="27" t="n"/>
      <c r="G21" s="27" t="n"/>
      <c r="H21" s="27" t="n"/>
    </row>
    <row r="23">
      <c r="B23" s="3" t="inlineStr">
        <is>
          <t>CƠ CHẾ THƯỞNG</t>
        </is>
      </c>
    </row>
    <row r="24">
      <c r="B24" s="12" t="inlineStr">
        <is>
          <t>Quỹ thưởng</t>
        </is>
      </c>
      <c r="C24" s="27" t="n"/>
      <c r="D24" s="19" t="inlineStr">
        <is>
          <t>10% phần NOI vượt mục tiêu giao</t>
        </is>
      </c>
      <c r="E24" s="27" t="n"/>
      <c r="F24" s="27" t="n"/>
      <c r="G24" s="27" t="n"/>
      <c r="H24" s="27" t="n"/>
    </row>
    <row r="25">
      <c r="B25" s="12" t="inlineStr">
        <is>
          <t>Chia</t>
        </is>
      </c>
      <c r="C25" s="27" t="n"/>
      <c r="D25" s="19" t="inlineStr">
        <is>
          <t>Trưởng toà 50% · Quản lý cụm 30% · GĐ Vận hành 20%</t>
        </is>
      </c>
      <c r="E25" s="27" t="n"/>
      <c r="F25" s="27" t="n"/>
      <c r="G25" s="27" t="n"/>
      <c r="H25" s="27" t="n"/>
    </row>
    <row r="26">
      <c r="B26" s="12" t="inlineStr">
        <is>
          <t>Điều kiện bắt buộc</t>
        </is>
      </c>
      <c r="C26" s="27" t="n"/>
      <c r="D26" s="19" t="inlineStr">
        <is>
          <t>Chỉ chi thưởng khi 4 chỉ số được nộp ĐÚNG HẠN đủ 12 kỳ trong năm</t>
        </is>
      </c>
      <c r="E26" s="27" t="n"/>
      <c r="F26" s="27" t="n"/>
      <c r="G26" s="27" t="n"/>
      <c r="H26" s="27" t="n"/>
    </row>
    <row r="27">
      <c r="B27" s="12" t="inlineStr">
        <is>
          <t>Vì sao</t>
        </is>
      </c>
      <c r="C27" s="27" t="n"/>
      <c r="D27" s="19" t="inlineStr">
        <is>
          <t>Gắn tiền vào kỷ luật báo cáo — đây là thứ đang thiếu, không phải thiếu nỗ lực</t>
        </is>
      </c>
      <c r="E27" s="27" t="n"/>
      <c r="F27" s="27" t="n"/>
      <c r="G27" s="27" t="n"/>
      <c r="H27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2026-09-14T00:49:59Z</dcterms:created>
  <dcterms:modified xsi:type="dcterms:W3CDTF">2026-09-14T01:04:03Z</dcterms:modified>
</cp:coreProperties>
</file>